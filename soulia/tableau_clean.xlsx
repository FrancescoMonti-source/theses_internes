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francesco.monti\Documents\GitHub\theses_internes\soulia\"/>
    </mc:Choice>
  </mc:AlternateContent>
  <bookViews>
    <workbookView xWindow="-108" yWindow="-108" windowWidth="23256" windowHeight="12456"/>
  </bookViews>
  <sheets>
    <sheet name="data" sheetId="1" r:id="rId1"/>
    <sheet name="Feuil1" sheetId="4" r:id="rId2"/>
    <sheet name="dictionnaire variables" sheetId="3" r:id="rId3"/>
    <sheet name="dictionnaire old" sheetId="2" r:id="rId4"/>
  </sheets>
  <definedNames>
    <definedName name="_xlnm._FilterDatabase" localSheetId="0" hidden="1">data!$C$1:$C$369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5" i="1" l="1"/>
  <c r="F255" i="1"/>
  <c r="AW255" i="1"/>
  <c r="E256" i="1"/>
  <c r="F256" i="1"/>
  <c r="AW256" i="1"/>
  <c r="E177" i="1"/>
  <c r="F177" i="1"/>
  <c r="AW177" i="1"/>
  <c r="E178" i="1"/>
  <c r="F178" i="1"/>
  <c r="AW178" i="1"/>
  <c r="AW205" i="1"/>
  <c r="F360" i="1"/>
  <c r="F361" i="1"/>
  <c r="F362" i="1"/>
  <c r="F363" i="1"/>
  <c r="F364" i="1"/>
  <c r="F320" i="1"/>
  <c r="F321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158" i="1"/>
  <c r="AW369" i="1"/>
  <c r="F369" i="1"/>
  <c r="E369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2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6" i="1"/>
  <c r="F227" i="1"/>
  <c r="F229" i="1"/>
  <c r="F230" i="1"/>
  <c r="F231" i="1"/>
  <c r="F232" i="1"/>
  <c r="F233" i="1"/>
  <c r="F234" i="1"/>
  <c r="F235" i="1"/>
  <c r="F236" i="1"/>
  <c r="F238" i="1"/>
  <c r="F239" i="1"/>
  <c r="F240" i="1"/>
  <c r="F241" i="1"/>
  <c r="F242" i="1"/>
  <c r="F243" i="1"/>
  <c r="F244" i="1"/>
  <c r="F245" i="1"/>
  <c r="F246" i="1"/>
  <c r="F247" i="1"/>
  <c r="F249" i="1"/>
  <c r="F250" i="1"/>
  <c r="F252" i="1"/>
  <c r="F253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5" i="1"/>
  <c r="F366" i="1"/>
  <c r="F367" i="1"/>
  <c r="F368" i="1"/>
  <c r="F2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2" i="1"/>
  <c r="E253" i="1"/>
  <c r="E254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<sst xmlns="http://schemas.openxmlformats.org/spreadsheetml/2006/main" count="5244" uniqueCount="572">
  <si>
    <t>Sexe</t>
  </si>
  <si>
    <t>N° patient</t>
  </si>
  <si>
    <t>DDN</t>
  </si>
  <si>
    <t>IDENTITE PATIENT</t>
  </si>
  <si>
    <t>CARACTERISTIQUES PATIENT</t>
  </si>
  <si>
    <t>Caucasien</t>
  </si>
  <si>
    <t>Asiatique</t>
  </si>
  <si>
    <t xml:space="preserve">Europe est et centrale </t>
  </si>
  <si>
    <t>Afrique sub saharienne</t>
  </si>
  <si>
    <t>Moyen orient</t>
  </si>
  <si>
    <t>Autre</t>
  </si>
  <si>
    <t>Maghreb</t>
  </si>
  <si>
    <t>Jamais</t>
  </si>
  <si>
    <t>Sevré</t>
  </si>
  <si>
    <t>Non sevré</t>
  </si>
  <si>
    <t>Diabète</t>
  </si>
  <si>
    <t>HTA</t>
  </si>
  <si>
    <t>OH (0 ou 1)</t>
  </si>
  <si>
    <t>Tabac (0 ou 1)</t>
  </si>
  <si>
    <t>CO-FACTEURS / FACTEURS DE RISQUE D'HEPATOPATHIE</t>
  </si>
  <si>
    <t>AgHBs (UI/Ml)</t>
  </si>
  <si>
    <t>CV (UI/mL)</t>
  </si>
  <si>
    <t>AgHBe + (0 ou 1)</t>
  </si>
  <si>
    <t>Cirrhose</t>
  </si>
  <si>
    <t>Ascite</t>
  </si>
  <si>
    <t>EH</t>
  </si>
  <si>
    <t>TH</t>
  </si>
  <si>
    <t>ILA</t>
  </si>
  <si>
    <t>SHR</t>
  </si>
  <si>
    <t>Hepatite fulminante</t>
  </si>
  <si>
    <t>Iatrogène</t>
  </si>
  <si>
    <t>Sexuel</t>
  </si>
  <si>
    <t>Drogues IV</t>
  </si>
  <si>
    <t>Date de diag</t>
  </si>
  <si>
    <t>Non traité</t>
  </si>
  <si>
    <t>ASAT (UI/L)</t>
  </si>
  <si>
    <t>ALAT (UI/L)</t>
  </si>
  <si>
    <t>GGT (UI/L)</t>
  </si>
  <si>
    <t>Albu (g/L)</t>
  </si>
  <si>
    <t>Plaq (G/L)</t>
  </si>
  <si>
    <t>TP (%)</t>
  </si>
  <si>
    <t>BT (µmol/L)</t>
  </si>
  <si>
    <t>PegIFNa (Pegasys) seul</t>
  </si>
  <si>
    <t>Ville de suivi</t>
  </si>
  <si>
    <t>ex : chu lille</t>
  </si>
  <si>
    <t>3 lettres (XXX)</t>
  </si>
  <si>
    <t>Prénom</t>
  </si>
  <si>
    <t>Nom</t>
  </si>
  <si>
    <t>XX/XX/XXXX</t>
  </si>
  <si>
    <t>H:0/F:1</t>
  </si>
  <si>
    <t>Patient traité par</t>
  </si>
  <si>
    <t>Mode de transmission (0 ou 1)</t>
  </si>
  <si>
    <t>Taille (m)</t>
  </si>
  <si>
    <t>Poids (kg)</t>
  </si>
  <si>
    <t>Hémorr Dig</t>
  </si>
  <si>
    <t>CV sous traitement</t>
  </si>
  <si>
    <t>↘ CV &gt; 2 log à S24 (0 ou 1)</t>
  </si>
  <si>
    <t>↘ CV &gt; 1 log à S24 (0 ou 1)</t>
  </si>
  <si>
    <t>Effets indésirables (0 ou 1)</t>
  </si>
  <si>
    <t>Pays de naissance (0 ou 1)</t>
  </si>
  <si>
    <t>0 ou 1</t>
  </si>
  <si>
    <t>Fibroscanner</t>
  </si>
  <si>
    <t>HEPATITE Delta (0 ou 1)</t>
  </si>
  <si>
    <t>Inconnu</t>
  </si>
  <si>
    <t>CV indétectable sous TTT</t>
  </si>
  <si>
    <t>CHC</t>
  </si>
  <si>
    <t>TRAITEMENT DU VHB (0 ou 1)</t>
  </si>
  <si>
    <t>CV détectable</t>
  </si>
  <si>
    <t>Fibrose (F) à baseline</t>
  </si>
  <si>
    <t xml:space="preserve"> </t>
  </si>
  <si>
    <t>Hepcludex = Bulévirtide (1: seul ou 2 : association pegIFNa)</t>
  </si>
  <si>
    <t xml:space="preserve">CHILD (A/B/C) </t>
  </si>
  <si>
    <t>Si cirrhose (au plus grave de l'évolution)</t>
  </si>
  <si>
    <t xml:space="preserve">TRAITEMENT 1 du VHD </t>
  </si>
  <si>
    <t xml:space="preserve">Si 2eme ligne : TRAITEMENT 2 du VHD </t>
  </si>
  <si>
    <t>Si 3eme ligne : TRAITEMENT 3 du VHD</t>
  </si>
  <si>
    <t>COMPLICATIONS (0 : Non / 1: avant diag VHD / 2: au moment du diag / 3: Après diag)</t>
  </si>
  <si>
    <t>COMMENTAIRES GENERAUX</t>
  </si>
  <si>
    <t>28/04/1971</t>
  </si>
  <si>
    <t>CHU Amiens</t>
  </si>
  <si>
    <t>baisse initale de la CV (28 000 000 à 1500 en 3mois, puis baisse poso PEG IFN devant EI &gt; Réascension CV à 232477 à 8mois)</t>
  </si>
  <si>
    <t>17/03/1960</t>
  </si>
  <si>
    <t>positive</t>
  </si>
  <si>
    <t>F4</t>
  </si>
  <si>
    <t>A</t>
  </si>
  <si>
    <t>Originaire du Cap vert, séro VHD découverte lors d'une hospitalisation en néphro, n'est jamais venue à la consult d'HGE</t>
  </si>
  <si>
    <t>01/05/1962</t>
  </si>
  <si>
    <t>15/02/1965</t>
  </si>
  <si>
    <t>B</t>
  </si>
  <si>
    <t>Séro + mais CV neg</t>
  </si>
  <si>
    <t>28/07/1948</t>
  </si>
  <si>
    <t>F0</t>
  </si>
  <si>
    <t>Séro+ mais CV neg</t>
  </si>
  <si>
    <t>10/09/1981</t>
  </si>
  <si>
    <t xml:space="preserve">Fibromètre (F4), pas de réponse a IFN, puis perdu de vue </t>
  </si>
  <si>
    <t xml:space="preserve">Demande externe milieu pénitencier, aucune info au CHU Amiens, séro + Cv neg </t>
  </si>
  <si>
    <t>07/01/1980</t>
  </si>
  <si>
    <t>10/08/1954</t>
  </si>
  <si>
    <t>Fibrotest</t>
  </si>
  <si>
    <t>20/08/1993</t>
  </si>
  <si>
    <t>26/12/1951</t>
  </si>
  <si>
    <t>Séro + CV neg, demande d'une clinique d'hémato, pas d'info</t>
  </si>
  <si>
    <t>30/01/1984</t>
  </si>
  <si>
    <t>Non traitée car désir de grossesse</t>
  </si>
  <si>
    <t>31/12/1949</t>
  </si>
  <si>
    <t>16/12/1971</t>
  </si>
  <si>
    <t>F3</t>
  </si>
  <si>
    <t>N'est plus venu en consultation après introduction du TTT</t>
  </si>
  <si>
    <t>02/03/2002</t>
  </si>
  <si>
    <t>13/02/1968</t>
  </si>
  <si>
    <t>F1</t>
  </si>
  <si>
    <t>Puis perdu de vue</t>
  </si>
  <si>
    <t>30/09/1959</t>
  </si>
  <si>
    <t>30/06/1967</t>
  </si>
  <si>
    <t>06/04/1982</t>
  </si>
  <si>
    <t>21/05/1984</t>
  </si>
  <si>
    <t>26/11/1987</t>
  </si>
  <si>
    <t>perdu de vue avant traitement</t>
  </si>
  <si>
    <t>04/10/1974</t>
  </si>
  <si>
    <t>01/01/1981</t>
  </si>
  <si>
    <t>21/08/1968</t>
  </si>
  <si>
    <t>Fibrotest, perdu de vue au moment de l'intro de l'IFN</t>
  </si>
  <si>
    <t>22/02/1956</t>
  </si>
  <si>
    <t>séro VHD+  CV non faite</t>
  </si>
  <si>
    <t>3,9 log</t>
  </si>
  <si>
    <t>TT par IFN pour B et D, pas de chiffre de Cv avant TTT</t>
  </si>
  <si>
    <t>26/05/1978</t>
  </si>
  <si>
    <t>Sérologie VHD faite mais pas CV</t>
  </si>
  <si>
    <t>F2</t>
  </si>
  <si>
    <t>TTT anterieurement par IFN pour VHB, découverte a posteriori du VHD</t>
  </si>
  <si>
    <t>Séro VHD non récupérée puis perdu de vue</t>
  </si>
  <si>
    <t>CREIL</t>
  </si>
  <si>
    <t>patient un non repliquant en deltz</t>
  </si>
  <si>
    <t>en delta</t>
  </si>
  <si>
    <t xml:space="preserve">dispartion spntaznee </t>
  </si>
  <si>
    <t xml:space="preserve"> replication</t>
  </si>
  <si>
    <t>non repliquant</t>
  </si>
  <si>
    <t>5 a eu des pauses de pegasys</t>
  </si>
  <si>
    <t>CHU Lille</t>
  </si>
  <si>
    <t>4,14 log</t>
  </si>
  <si>
    <t>1,56 log</t>
  </si>
  <si>
    <t>Fibroscan mal paramétré surrestimant la mesure de l'élasticité</t>
  </si>
  <si>
    <t>Cas super intéressant à développer dans la discussion &gt; Cas d'un VHD sans AgHBs (seulement Ac anti HBS témoignant d'une vaccination &gt; Réaction aspécifique ? &gt; Que dit la littérature ?  Faux positif de la sérologie VHD ? Quelle est la proportion de FP et FN</t>
  </si>
  <si>
    <t>Sérologie demandée au cours de la dernière consultation, probablement non récupéré</t>
  </si>
  <si>
    <t xml:space="preserve">Sérologie demandée, non récupéré, CV non demandée malgré suivi poursuivi en neurologie </t>
  </si>
  <si>
    <t>1/ Introduction différée car pb social puis grossesse , F4 avant de débuter le TTT antiviral avec bio non compatible avec cirrhose &gt; F1F2 sous TT antiviral &gt; Surévaluation du fibroscan avec l'inflammation en lien avec VHD? 2/ CV qui s'est ascensionnée au cours du suivi mais intro de BARACLUDE que 4ans plus tard (en 2020) par faute d'ATU existante avant... Puis perdue de vue après intro du BARACLUDE</t>
  </si>
  <si>
    <t xml:space="preserve">3.3 log </t>
  </si>
  <si>
    <t>PBH en 2017</t>
  </si>
  <si>
    <t>1er TT: pegasys 180 puis 135/sem 6M--&gt; Résistance au TT. 2eme TT 1an : Myrcludex 2 + Pegasys 135 + entécavir 0,5 en 08/2020 (6,92 log avant TT, indétect à S24). Rechute à un an, 3eme TTT : Myrcludex 2 + Pegasys 90 + entécavir 0,5, indétect à S24, 2ème rechute à 2M de l'arret du TT &gt;&gt; Découverte hyperplasie lymphoide B aspécfique. Souhait grossesse &gt; Relai ENTECAVIR par TENOFOVIR</t>
  </si>
  <si>
    <t>Sous PEGASYS depuis 2007 sans CV iniitale mais neg depuis suivi au CHU Lille</t>
  </si>
  <si>
    <t>F3A3</t>
  </si>
  <si>
    <t>Par fibrotest.</t>
  </si>
  <si>
    <t>TTT pour Tuberculose (d’où cytolyse), Entécavir 0,5, Pegasys 180, Bulvéritide 2</t>
  </si>
  <si>
    <t xml:space="preserve">Très mauvaise observance, puis perdu de vue </t>
  </si>
  <si>
    <t xml:space="preserve">8log </t>
  </si>
  <si>
    <t xml:space="preserve">Arrêt du TTT à 6mois devant inefficacité, pas de TT par HEPCLUDEX car n'existait pas puis perdu de vue </t>
  </si>
  <si>
    <t xml:space="preserve">Anterieurement traité en géorgie par IFN/ viread 245/ pegasys 180  PUIS arret pegasys à 1an de TT, réactivation VHD 4M après, reprise trithérapie, diminution PEG à 65 après 2ans </t>
  </si>
  <si>
    <t>0</t>
  </si>
  <si>
    <t xml:space="preserve">3,89 log </t>
  </si>
  <si>
    <t>?</t>
  </si>
  <si>
    <t xml:space="preserve">DOSSIER A COMPLETER A LA PITIE : TIPSé pour RVO. Th pour EH et ictère, compliquée d'une Trombose branche droite, cholangite ischémique, </t>
  </si>
  <si>
    <t>Non traité car CHC multiM+ sur VHB/VHD</t>
  </si>
  <si>
    <t xml:space="preserve">Projet de grossesse donc traitement pas encore initié </t>
  </si>
  <si>
    <t>Un CRH isolé, manque de données</t>
  </si>
  <si>
    <t>FibroTest / 1er TTT par pegasys, Cv &lt;2log a S24, arret devant suspi hépatite à IFN, relai par VIREAD, CV en cours de décroissance mais lente</t>
  </si>
  <si>
    <t>FibroTest</t>
  </si>
  <si>
    <t>Prison, CHC multi métastatique</t>
  </si>
  <si>
    <t>A noter, réponse initiale puis dès M7 &gt; Réascension CV</t>
  </si>
  <si>
    <t>Non traité car perdu de vue</t>
  </si>
  <si>
    <t xml:space="preserve">Fibrotest, PEGASYS pendant 1an et BULEVIRTIDE 2ans - récidive à l'arret - reprise BULVERITIDE seul </t>
  </si>
  <si>
    <t>F</t>
  </si>
  <si>
    <t>Entécavir puis Tenefovir car a arreté le tt par entécavir</t>
  </si>
  <si>
    <t xml:space="preserve">PBh car cytolyse malgré des CV neg + hypergamma et IgG &gt; rch HAI </t>
  </si>
  <si>
    <t xml:space="preserve">Puis perdu de vue </t>
  </si>
  <si>
    <t xml:space="preserve">Traité 4 ans par VIREAD?,contrôle virologique puis arret de TT contrôle de la CV donc arret tt, pas de récidive de CV+ </t>
  </si>
  <si>
    <t xml:space="preserve">Sous VIREAD depuis 2016 puis découverte au cours du suivi en 2024 d'une séro VHD positive alors que neg anterieurement &gt; CV neg&gt; Car TTT prolongé par VIREAD ? </t>
  </si>
  <si>
    <t xml:space="preserve">Intro TTT anti VHD impossible car cirrhose décompensée &gt; TH pour ascite réfractaire sur cirrhose BD &gt; Th en 2018 </t>
  </si>
  <si>
    <t>Conclu à tort à séro neg alors que séro positivité D</t>
  </si>
  <si>
    <t xml:space="preserve">Non traité car pas d'indication au TT </t>
  </si>
  <si>
    <t>FibroTest / Echange de mail</t>
  </si>
  <si>
    <t xml:space="preserve">Une hospit en réa puis perdu de vue </t>
  </si>
  <si>
    <t>Barrière de la langue, communication difficilen, patient ne faisant pas ses examens puis perdu de vue en deux cs</t>
  </si>
  <si>
    <t>Pas compris l'indication du PEGASYS &gt; CV neg avant TTT, est resté neg après TTT…</t>
  </si>
  <si>
    <t>Deux consultations, situation irrégulière, plus revu, CV non faite</t>
  </si>
  <si>
    <t>Demande d'asile, SDF, inscription sur liste TH différée, TENOFOVIR interrompu car ne pouvait s'en procurer. Cirrhose décompensée, pas de TTT anti D. TH pour CHC sur cirrhose BD</t>
  </si>
  <si>
    <t xml:space="preserve">2,62 log </t>
  </si>
  <si>
    <t>C</t>
  </si>
  <si>
    <t>Viread ET baraclude en même temps pour optimiser les chances de négativation du VHB . TH pour CHC sur cirrhose BD CHILD C14</t>
  </si>
  <si>
    <t xml:space="preserve">Situation irrégulière, pas de TTT possible dans ces conditions &gt; Puis perdu de vue </t>
  </si>
  <si>
    <t xml:space="preserve">CV faite qu'une fois </t>
  </si>
  <si>
    <t xml:space="preserve">Barrière langue, 2 cs puis perdu de vue </t>
  </si>
  <si>
    <t>Intro du TTT puis perdu de vue</t>
  </si>
  <si>
    <t>Après un an sans TTT avec conclusion : echec IFN et BULVERITIDE &gt; Réintroduction IFN + BULVERITIDE</t>
  </si>
  <si>
    <t>4.08</t>
  </si>
  <si>
    <t>SDF, vient pas a ses cs, VHD non traité car CV 0</t>
  </si>
  <si>
    <t>167</t>
  </si>
  <si>
    <t>472</t>
  </si>
  <si>
    <t>411</t>
  </si>
  <si>
    <t>12</t>
  </si>
  <si>
    <t>100</t>
  </si>
  <si>
    <t xml:space="preserve">Patient en prison (séro envoyé de l'UCSA) Pas de cs de suivi, pas d'info sur patient </t>
  </si>
  <si>
    <t>réponse viro soutenue sous HEPCLUDEX ayant meme permis l'arret du TTT</t>
  </si>
  <si>
    <t>Barrière langue, roumaine, ne prend pas ses TT anti VHb, grossesse, donc pas de TT VHD (et de toute facon CV 0) puis perdu de vue</t>
  </si>
  <si>
    <t>Pas suivi en hépato, suivi pour grossesse, pas d'indication a TT devant CV 0</t>
  </si>
  <si>
    <t>TTT optimal Baraclude + Hepcludex/Pegasys bien que cirrhose CHILD C (et effectivement pas de complication au décours)</t>
  </si>
  <si>
    <t xml:space="preserve">Séro VHD neg pendant 10ans de suivi puis séro+ avec CV neg, jamais redosée. </t>
  </si>
  <si>
    <t>Histoire drole &gt; Séro VHD neg pendant 9ans puis surrinfection VHD en 2023. Mais comme patient sous PEGASYS dans le cadre d'une thrombocytémie essentielle JAK2 (pour diminuer plaquettes) &gt; CV VHD Neg &gt; Patient non considéré comme porteur d'un VHD. CV jamais redosée</t>
  </si>
  <si>
    <t>TTT décalé d'un an pour pb de sécu sociale. Cirrhose BD connu depuis lgt, echec IFN à l'époque (pas plus d'info accessible) &gt; Suivi dep 2020 au CHU lille poru intro HEPCLUDEX + PEGASYS. CV détectable à M6 puis indétectable. Changement TTT 3e ligne par Hepcludex seul devant hrombopénie grzve sous bithérapie. CV neg avant et après TTT par hepcludex seul</t>
  </si>
  <si>
    <t xml:space="preserve">7,27 log </t>
  </si>
  <si>
    <t>Séro VHD probablement non récupérée car non mentionnée dans le CR. Pas de TTT initié alors que cirrhose VHB-D (CV neg)</t>
  </si>
  <si>
    <t>170 000 000</t>
  </si>
  <si>
    <t>3,38log</t>
  </si>
  <si>
    <t>TT par entécavir ET viread devant VHB très répliquant sous Viread seul (mais observance lédiocre). Résistance au VIREAD en 2017 &gt; MYRCLUDEX introduit qu'en 2020 car pas de TTT accessible avant. Résistance au MYRCLUDEX (CV idem et après TTT a 6,5 log)</t>
  </si>
  <si>
    <t>CSAPA</t>
  </si>
  <si>
    <t xml:space="preserve">8 log </t>
  </si>
  <si>
    <t>Echappement à IFN et HEPCLUDEX en monothérapie</t>
  </si>
  <si>
    <t xml:space="preserve">Foyer d'accueil pour migrants </t>
  </si>
  <si>
    <t>Demandeur d'asile</t>
  </si>
  <si>
    <t>Ténofovir puis Baraclude</t>
  </si>
  <si>
    <t>DIEPPE</t>
  </si>
  <si>
    <t>CH Reims</t>
  </si>
  <si>
    <t xml:space="preserve">TTT IFN pendant 42 mois puis poursuite viread seul </t>
  </si>
  <si>
    <t xml:space="preserve">TTT IFN pendant 13 mois puis poursuite viread seul </t>
  </si>
  <si>
    <t xml:space="preserve">TTT IFN pendant 12 mois puis perdu de vue </t>
  </si>
  <si>
    <t>non traité perdue de vue</t>
  </si>
  <si>
    <t>Non traité CVB et CVDelta indétectable</t>
  </si>
  <si>
    <t>Neutropénie</t>
  </si>
  <si>
    <t>TTT IFN pendant 6 mois puis perdu de vue car déménagement</t>
  </si>
  <si>
    <t xml:space="preserve">TTT IFN pendant 3 mois puis poursuite viread seul </t>
  </si>
  <si>
    <t xml:space="preserve">TTT IFN pendant 18 mois puis poursuite viread seul  </t>
  </si>
  <si>
    <t>TTT IFN pendant 12 mois puis Cvdelta indectectable et revenu détéctable 1 an plus tard : refus de la patiente de IFN ou bulevirtide</t>
  </si>
  <si>
    <t>Non traité  CVDelta indétectable</t>
  </si>
  <si>
    <t>TTT IFN pendant 1 seul mois puis arret ins hypophysaire  puis CV Delta est restée indétectable</t>
  </si>
  <si>
    <t>TTT IFN pendant 12 mois puis Cvdelta indectectable et revenu détéctable 2 ans plus tard : perdu de vue car a déménagé</t>
  </si>
  <si>
    <t>TTT IFN d'oct 2006 à 01 2009 pui d'aout 2009 à 12 2014. Cv delta est restée indetéctable. CHC en 2016 guéri par RF</t>
  </si>
  <si>
    <t>TTT IFN pendant 12 mois puis Cvdelta indectectable</t>
  </si>
  <si>
    <t>TTT IFN 6 mois inefficace, puis IFN + bulevirtide pendant 12 mois inefficace puis perdu de vue</t>
  </si>
  <si>
    <t>TTT IFN 2 ans CVDelta indétectable puis rechute 18 mois plsu tard - TTT alors IFN +bulevirtide pendant 15 mois CVD indetectable puis rechute 12 mois plus tard puis perdu de vue</t>
  </si>
  <si>
    <t xml:space="preserve">TTT IFN seul 3 mois inefficace donc IFN+bulevirtide pendant 18 mois CVD toujours indetectable 3 ans après arret du TTT </t>
  </si>
  <si>
    <t xml:space="preserve">TTT IFN pendant 12mois puis arret CVDindétectable depuis 5 ans </t>
  </si>
  <si>
    <t xml:space="preserve">TTT IFN 9 mois inefficace donc arret IFN, en dec 2016 TH pour CHC, 6 mois post TH decouverte neo vessie, patient DCD 12 2017  </t>
  </si>
  <si>
    <t>TTT IFN pendant 41 mois puis arret CVD indetectable depuis 18 ans de suivi</t>
  </si>
  <si>
    <t>TTT IFN arrété au bout 1 mois car thrombopénie +++ et rupture de VO, sous bulevirtide depuis fev 2023</t>
  </si>
  <si>
    <t>TTT Bulevirtide depuis 2 ans et toujours poursuivi</t>
  </si>
  <si>
    <t>Non traité CVDelta indetectable</t>
  </si>
  <si>
    <t xml:space="preserve">coninf VHB VHD VHC VIH - non traité CVD indetectable, TH en 2014 pour CHC , toujours suivi </t>
  </si>
  <si>
    <t>TTT IFN débuté en nov 2024</t>
  </si>
  <si>
    <t>CHU ROUEN</t>
  </si>
  <si>
    <t xml:space="preserve">NON SUIVI </t>
  </si>
  <si>
    <t>Ac anti delta neg le 16/02/2021, baraclude depuis 2019</t>
  </si>
  <si>
    <t xml:space="preserve">Sérologie VHD positive mais CV delta neg </t>
  </si>
  <si>
    <t>NON SUIVI</t>
  </si>
  <si>
    <t>Séro VHD positive mais CV delta neg</t>
  </si>
  <si>
    <t>VHB anciennement traité par Lamivudine puis adénfovir // VHD connu depuis 2001 mais non traité après l'IFN car pas d'autres thérapeutiques existantes jusqu’à 2019 avec avenement du Myrcludex mais indication que si &gt;F3/F4 donc pas traité. Puis clairance spontanée du virus devenu indétectable à partir de 2022</t>
  </si>
  <si>
    <t>CV VHD neg / séro VHD Positive</t>
  </si>
  <si>
    <t>Séro VHD retrouvée positive par CeGIDD / patient perdu de vu, pas de CV dosée</t>
  </si>
  <si>
    <t xml:space="preserve">CHU ROUEN </t>
  </si>
  <si>
    <t xml:space="preserve">Séro VHD positive mais CV neg </t>
  </si>
  <si>
    <t>1,4 log</t>
  </si>
  <si>
    <t>VHB traité par Hepsera puis baraclude</t>
  </si>
  <si>
    <t>Séro VHD positive mais CV neg  puis perdu de vu</t>
  </si>
  <si>
    <t>TRES ETONNANT : D'abord IFN seul avec très bonne réponse viro immédiate (bizarre pour un IFN) puis arret à 48 sem et switch par ENTECAVIR Seul devant AG HBs positif et CV VHD légèrement détectable &gt;&gt; Puis indétectable sous ENTECAVIR seul pendant 14 ans !!!</t>
  </si>
  <si>
    <t xml:space="preserve">Séro VHD et CV très faible donc pas de TTT introduit </t>
  </si>
  <si>
    <t>Telbivudine (anti VHB seul en 2008) puis rupture de TTT, reprise suivi en 2008 : IFN seul pas de réponse, puis Viread seul AYANT PERMIS UNE NEGATIVATION DU VHD !! // Complication cirrhose : VCT</t>
  </si>
  <si>
    <t>Séro VHD positive mais CV neg / TTT VHB par IFN 1an en 95-96 puis Adéfovir 2004-2005</t>
  </si>
  <si>
    <t>Séro VHD positive mais CV neg + AC HBc positif maius CV VHB et Ag HBs neg &gt;&gt; Aucun TTT</t>
  </si>
  <si>
    <t>TB psy + toxico &gt; Une cs puis perdue de vue, CV VHD non faite</t>
  </si>
  <si>
    <t xml:space="preserve">Non suivi </t>
  </si>
  <si>
    <t>Séro VHD positive mais CV neg , non suivi</t>
  </si>
  <si>
    <t xml:space="preserve">Traité par VIREAD en 2009 puis association à IFN un an </t>
  </si>
  <si>
    <t xml:space="preserve">Non traité car perdu de vue </t>
  </si>
  <si>
    <t xml:space="preserve">Une cs puis perdu de vue </t>
  </si>
  <si>
    <t xml:space="preserve">Maintient du PEGASYS malgré inneficacité devant absence d'alternative et malgré echec de réponse &gt;&gt; Finalement négativation de la CV </t>
  </si>
  <si>
    <t>CV non dosée</t>
  </si>
  <si>
    <t>Décédé d'un cholangioK</t>
  </si>
  <si>
    <t>Lamivudine</t>
  </si>
  <si>
    <t xml:space="preserve">VHB traité par Lamivudine, puis insuffisance rénale donc intro Entécavir mal toléré sur plan digestif. VHD : PEG essayé de nombreuses fois et nombreuses années avec echec total </t>
  </si>
  <si>
    <t>CH VALENCIENNES</t>
  </si>
  <si>
    <t>données manquantes</t>
  </si>
  <si>
    <t>sérologie virale D positive, PCR D négative</t>
  </si>
  <si>
    <t>suivi initial réalisé au CH de St Philibert par Pr LUCIDARME</t>
  </si>
  <si>
    <t>sérologie virale D positive, pas de PCR réalisé, pas de suivi, résultat VHB incomplet (pas de Hbc ??)</t>
  </si>
  <si>
    <t>sérologie virale D positive, PCR D négative / VHB ancien, découverte VHD fortuite sur bilan systématique, séroconversion HBS, suivi à Denain initial / donc pas de hépatite B ou D chronique</t>
  </si>
  <si>
    <t>CH TOURCOING</t>
  </si>
  <si>
    <t>aucun document sur HM à part un fibroscan....</t>
  </si>
  <si>
    <t>bio avant intro viread</t>
  </si>
  <si>
    <t>sérologie hépatite d réalisée, mais introuvables sur HM</t>
  </si>
  <si>
    <t>cirrhose mixte OH et VHC, pas de trace dans les dossiers d'une infecion VHB VHD</t>
  </si>
  <si>
    <t>patient avec mauvaise observance qui bénéficie education thérapeutique tous les mois</t>
  </si>
  <si>
    <t>pas de dossier</t>
  </si>
  <si>
    <t>VHB chronique ancienne, premier contact avec tourcoing en 2023</t>
  </si>
  <si>
    <t>CHC avec lobectomie au chu de lille en 2017</t>
  </si>
  <si>
    <t>Dernier contact avec Tourcoing en 2021, pas de mention de VHD seulement VHB</t>
  </si>
  <si>
    <t>Premier contact avec tourcoing en 2014 infection VIH VHB et VHD déjà connu, bio au diag non dispo, charge virale indetectable en 2023</t>
  </si>
  <si>
    <t>diag apparement en 2008 mais mentionné pour la première fois dans les courriers en 2021</t>
  </si>
  <si>
    <t>ttt par pegazis de 07/12 à 12/14 puis de12/15 à 04/17 puis surveillance, déménagement en 2021 à Abbeville chngement de suivi</t>
  </si>
  <si>
    <t>diag dans les années 90 pas de bio dispo avant</t>
  </si>
  <si>
    <t>Ne s'est pas présenté à la CS</t>
  </si>
  <si>
    <t>CS prochaine pister ttt</t>
  </si>
  <si>
    <t>CH Boulogne</t>
  </si>
  <si>
    <t>CH Roubaix</t>
  </si>
  <si>
    <t>Lens</t>
  </si>
  <si>
    <t>CH CALAIS</t>
  </si>
  <si>
    <t>CH ARRAS</t>
  </si>
  <si>
    <t>CH SAINT-OMER</t>
  </si>
  <si>
    <t>CH BETHUNE</t>
  </si>
  <si>
    <t>Externe</t>
  </si>
  <si>
    <t>SAINT-PHILIBERT</t>
  </si>
  <si>
    <t>CH MAUBEUGE</t>
  </si>
  <si>
    <t>CHU CAEN</t>
  </si>
  <si>
    <t>Non traité car CHILD C</t>
  </si>
  <si>
    <t xml:space="preserve">Non traitécar TH </t>
  </si>
  <si>
    <t xml:space="preserve">Trithérapie IFN + baraclude + hepcludex introduite en juillet 2024 </t>
  </si>
  <si>
    <t>PASS</t>
  </si>
  <si>
    <t>32 U</t>
  </si>
  <si>
    <t>CH Havre</t>
  </si>
  <si>
    <t>Atc HbE +</t>
  </si>
  <si>
    <t>Suivi par Dr. Al KHATIB depuis novembre 2011 puis repris par EB le 7 fev 2013 ; Baraclude depuis octobre 2012</t>
  </si>
  <si>
    <t>0 (Atc HbE +)</t>
  </si>
  <si>
    <t>Patient refusant TTT HepB car désir de grossesse (augmentation de la fibrose entre diagnostic et récemment)</t>
  </si>
  <si>
    <t>NC</t>
  </si>
  <si>
    <t>CH ORLÉANS </t>
  </si>
  <si>
    <t>A débuté le traitement en décembre 2024, IDE passe à la maison pour lui faire les injections, vit très mal sa maladie, changement point d'injection dans la cuisse</t>
  </si>
  <si>
    <t>25-oct.</t>
  </si>
  <si>
    <t>Suivi initialement par le Dr BEHBAHANI jusqu'en janvier 2017 puis par le Dr MARRE, 2 CHC traité par CEL en 2015 et 2016 puis opéré au CHU par Dr SCHWARZ en 2017 </t>
  </si>
  <si>
    <t>Suivi Lille initialement par le DR LEMAITRE Elise, diagnostic fait dans un contexte de désir de grossesse chez sa femme </t>
  </si>
  <si>
    <t>En France depuis juillet 2024 </t>
  </si>
  <si>
    <t>elbeuf</t>
  </si>
  <si>
    <t>Tous les 3 suivis en PASS</t>
  </si>
  <si>
    <t>aucunes info sur ce patient excepte que antecedent de VHB et qu'il a dans la base de données des AC + au VHD mais charge virale neg </t>
  </si>
  <si>
    <t>Dunkerque</t>
  </si>
  <si>
    <t>données manquantes (diagnostic fait à paris en 2019)</t>
  </si>
  <si>
    <t>A5</t>
  </si>
  <si>
    <t>VHB charge virale négative, VHD se réplique (dernière consultation nov 2024)</t>
  </si>
  <si>
    <t>charge virale log VHD en 2023 : à 1.205.000 UI/mL</t>
  </si>
  <si>
    <t>03/06/2024 VHD : Ac 1,280 UA/mL et charge virale négative</t>
  </si>
  <si>
    <t>pas de courrier retrouvé, seule prise de sang au centre baudelaire.</t>
  </si>
  <si>
    <t>ttt VIH-VHB 2011 : TRUVADA – PREZISTA, 2014 : EVIPLERA.</t>
  </si>
  <si>
    <t>Ac anti delta négatifs en 2019 pas de VHD </t>
  </si>
  <si>
    <t>patiente qui a déménagé à Chartres en 2023, en 2014 VHB déjà connue, pas de suivi entre 2018 et 2022, 2022 reprise du suivi à tourcoing </t>
  </si>
  <si>
    <t>CH SARREGUEMINES</t>
  </si>
  <si>
    <t xml:space="preserve">Age </t>
  </si>
  <si>
    <t>au diagnostic</t>
  </si>
  <si>
    <t>IMC (kg/m2)</t>
  </si>
  <si>
    <t>ORIGINE DU DOSSIER</t>
  </si>
  <si>
    <t>Thrombopénie</t>
  </si>
  <si>
    <t>Sd grippal</t>
  </si>
  <si>
    <t>Anémie</t>
  </si>
  <si>
    <t>Leucopénie</t>
  </si>
  <si>
    <t>Effets indésirables</t>
  </si>
  <si>
    <t>1: Trouble psychiques, 2: HTA, 3: Perturbation bilan hépatique, 4: Arret du TT pour EI, 5: Hyperthyroidie, 6:Insuffisance hypophysaire, 7: Douleur au point d'injection</t>
  </si>
  <si>
    <t xml:space="preserve">Effets indésirables </t>
  </si>
  <si>
    <t xml:space="preserve">Actuel </t>
  </si>
  <si>
    <t>FIB 4</t>
  </si>
  <si>
    <t>Fibromètre</t>
  </si>
  <si>
    <t>AUTRE : 1: Trouble psychiques, 2: HTA, 3: Perturbation bilan hépatique, 4: Arret du TT pour EI, 5: Hyperthyroidie, 6:Insuffisance hypophysaire, 7: Douleur au point d'injection</t>
  </si>
  <si>
    <t>NUC</t>
  </si>
  <si>
    <t>X</t>
  </si>
  <si>
    <t>Positif</t>
  </si>
  <si>
    <t>Postif</t>
  </si>
  <si>
    <t>Décédé, prise en charge palliatif, récusé Th car mésusage drogue</t>
  </si>
  <si>
    <t>MASLD</t>
  </si>
  <si>
    <t>7,69</t>
  </si>
  <si>
    <t>7,95</t>
  </si>
  <si>
    <t>6,44</t>
  </si>
  <si>
    <t>5,01</t>
  </si>
  <si>
    <t>3,04</t>
  </si>
  <si>
    <t>6,23</t>
  </si>
  <si>
    <t>4,61</t>
  </si>
  <si>
    <t>VHC</t>
  </si>
  <si>
    <t>VIH</t>
  </si>
  <si>
    <t>1 et 2</t>
  </si>
  <si>
    <t>Palliatif, décédé</t>
  </si>
  <si>
    <t xml:space="preserve">Dosage en cs de gynéco </t>
  </si>
  <si>
    <t>1,97log</t>
  </si>
  <si>
    <t>8,79 log</t>
  </si>
  <si>
    <t>d'évolution</t>
  </si>
  <si>
    <t>dep diag</t>
  </si>
  <si>
    <t>Nbr année</t>
  </si>
  <si>
    <t>CV+ (log) avant TTT</t>
  </si>
  <si>
    <t>qu'une fois</t>
  </si>
  <si>
    <t>ND = non dosée</t>
  </si>
  <si>
    <t>P = + mais pas chiffre</t>
  </si>
  <si>
    <t>Si CV 0, dosée</t>
  </si>
  <si>
    <t>Positive</t>
  </si>
  <si>
    <t xml:space="preserve">F2 </t>
  </si>
  <si>
    <t>Fibrose intermédiaire (2,08)</t>
  </si>
  <si>
    <t>FIB4 0,99</t>
  </si>
  <si>
    <t>PBH/Hepatectomie</t>
  </si>
  <si>
    <t>Overlap syndrome</t>
  </si>
  <si>
    <t>Hépatectomie</t>
  </si>
  <si>
    <t>6,6 </t>
  </si>
  <si>
    <t>8</t>
  </si>
  <si>
    <t>PERDU DE VUE</t>
  </si>
  <si>
    <t>GROSSESSE</t>
  </si>
  <si>
    <t>TT différé car</t>
  </si>
  <si>
    <t>SDF qui parle pas francais &gt; Pas de TTT car Doit rester conservé au froid puis perdu de vue</t>
  </si>
  <si>
    <t>Pas de couverture sociale, pas de TT anti D puis perdu de vue</t>
  </si>
  <si>
    <t xml:space="preserve">patient perdu de vue </t>
  </si>
  <si>
    <t>suivi en infectio par dr meybeck, pas de CR sur HM</t>
  </si>
  <si>
    <t>suivi en infectio par dr meybeck</t>
  </si>
  <si>
    <t>1  PASS / 2 centre pénitencier</t>
  </si>
  <si>
    <t>3 Cegidd / 4 CSAPA</t>
  </si>
  <si>
    <t xml:space="preserve">TT par hepcludex puis perdu de vue deux ans après </t>
  </si>
  <si>
    <t>Séro VHD positive mais CV neg puis perdu de vue</t>
  </si>
  <si>
    <t>PBH/ Hépatectomie</t>
  </si>
  <si>
    <t xml:space="preserve">pas de suivi </t>
  </si>
  <si>
    <t xml:space="preserve">pas de suivi, CV non faite </t>
  </si>
  <si>
    <t>Dernier chiffre de fibrose accessible (pas sure que ce soit pertinent car pas de délai)</t>
  </si>
  <si>
    <t>Materno-fœtal/ Zone endémie</t>
  </si>
  <si>
    <t>Décédé, patient anciennement suivi à ROUEN</t>
  </si>
  <si>
    <t>modalite</t>
  </si>
  <si>
    <t>variable</t>
  </si>
  <si>
    <t>groupe_variable</t>
  </si>
  <si>
    <t>commentaire</t>
  </si>
  <si>
    <t>ethnie plutot, pas le droit d'avoir ces données ni de les exploiter</t>
  </si>
  <si>
    <t>(lors du diagnostic de VHD+)</t>
  </si>
  <si>
    <t>num</t>
  </si>
  <si>
    <t>H</t>
  </si>
  <si>
    <t>Europe est et centrale</t>
  </si>
  <si>
    <t>ethnie</t>
  </si>
  <si>
    <t>oh</t>
  </si>
  <si>
    <t>tabac</t>
  </si>
  <si>
    <t>sexe</t>
  </si>
  <si>
    <t>taille</t>
  </si>
  <si>
    <t>poids</t>
  </si>
  <si>
    <t>imc</t>
  </si>
  <si>
    <t>diabete</t>
  </si>
  <si>
    <t>hta</t>
  </si>
  <si>
    <t>asat</t>
  </si>
  <si>
    <t>alat</t>
  </si>
  <si>
    <t>ggt</t>
  </si>
  <si>
    <t>bt</t>
  </si>
  <si>
    <t>tp</t>
  </si>
  <si>
    <t>masld</t>
  </si>
  <si>
    <t>plaq</t>
  </si>
  <si>
    <t>albu</t>
  </si>
  <si>
    <t>Non</t>
  </si>
  <si>
    <t>Au diag</t>
  </si>
  <si>
    <t>Post diag</t>
  </si>
  <si>
    <t>Pre diag</t>
  </si>
  <si>
    <t>hepatite_fulminante</t>
  </si>
  <si>
    <t>vhb_traitement</t>
  </si>
  <si>
    <t>vhd_mode_transmission</t>
  </si>
  <si>
    <t>Drogues iv</t>
  </si>
  <si>
    <t>Materno-foetal</t>
  </si>
  <si>
    <t>Bulévirtide</t>
  </si>
  <si>
    <t>Bulévirtide en association pegIFNa</t>
  </si>
  <si>
    <t>PegIFNa</t>
  </si>
  <si>
    <t>vhd_cv0_un_seul_dosage</t>
  </si>
  <si>
    <t xml:space="preserve">ENVOYER MAIL A VIROLOGUE DE LILLE PositifOUR CETTE CV </t>
  </si>
  <si>
    <t>vhd_cv_pre_traitement</t>
  </si>
  <si>
    <t>vhd_date_diag</t>
  </si>
  <si>
    <t>vhd_evolution_ans</t>
  </si>
  <si>
    <t>complications_cirrhose</t>
  </si>
  <si>
    <t>complications_child_pugh</t>
  </si>
  <si>
    <t>complications_ascite</t>
  </si>
  <si>
    <t>complications_encephalopathie_hepatique</t>
  </si>
  <si>
    <t>complications_ila</t>
  </si>
  <si>
    <t>complications_hepatocarcinome</t>
  </si>
  <si>
    <t>complications_sd_hepatorenal</t>
  </si>
  <si>
    <t>complications_th</t>
  </si>
  <si>
    <t>age_diag_vhd</t>
  </si>
  <si>
    <t>ville_suivi</t>
  </si>
  <si>
    <t>complications_hemorragie_dige</t>
  </si>
  <si>
    <t>Troubles psychiques</t>
  </si>
  <si>
    <t>Perturbations bilan hépatique</t>
  </si>
  <si>
    <t>Arret du TT pour EI</t>
  </si>
  <si>
    <t>Perturbations bilan hépatique, Arret du TT pour EI</t>
  </si>
  <si>
    <t>Hyperthyroidie</t>
  </si>
  <si>
    <t>Insuffisance hypophysiaire</t>
  </si>
  <si>
    <t>Douleur point d'injection</t>
  </si>
  <si>
    <t>pegIFNa</t>
  </si>
  <si>
    <t xml:space="preserve">age </t>
  </si>
  <si>
    <t>ddn</t>
  </si>
  <si>
    <t>id</t>
  </si>
  <si>
    <t>ag_hbs_t1</t>
  </si>
  <si>
    <t>ag_hbe_t1</t>
  </si>
  <si>
    <t>cv_vhb_t1</t>
  </si>
  <si>
    <t>sero_vhc_t1</t>
  </si>
  <si>
    <t>&gt;2 log</t>
  </si>
  <si>
    <t>1 à 2 log</t>
  </si>
  <si>
    <t>indetectable</t>
  </si>
  <si>
    <t>detectable</t>
  </si>
  <si>
    <t>Maternofoetal</t>
  </si>
  <si>
    <t>origine_dossier</t>
  </si>
  <si>
    <t>Centre pénitencier</t>
  </si>
  <si>
    <t>Cegidd</t>
  </si>
  <si>
    <t>perdu_de_vue</t>
  </si>
  <si>
    <t>tt_differe_car_grossesse</t>
  </si>
  <si>
    <t>commentaires</t>
  </si>
  <si>
    <t>pbh_hepatectomie_baseline</t>
  </si>
  <si>
    <t>fibroscanner_baseline</t>
  </si>
  <si>
    <t>fibrotest_baseline</t>
  </si>
  <si>
    <t>fibrometre_baseline</t>
  </si>
  <si>
    <t>fib4_baseline</t>
  </si>
  <si>
    <t>pbh_hepatectomie_last</t>
  </si>
  <si>
    <t>fibroscanner_last</t>
  </si>
  <si>
    <t>fibrotest_last</t>
  </si>
  <si>
    <t>fibrometre_last</t>
  </si>
  <si>
    <t>fib4_last</t>
  </si>
  <si>
    <t>vhd_traitement_1</t>
  </si>
  <si>
    <t>reduction_cv_vhd_1</t>
  </si>
  <si>
    <t>cv_detectable_1</t>
  </si>
  <si>
    <t>ei_bin_1</t>
  </si>
  <si>
    <t>ei_neutropenie_1</t>
  </si>
  <si>
    <t>ei_anemie_1</t>
  </si>
  <si>
    <t>ei_thrombopenie_1</t>
  </si>
  <si>
    <t>ei_leucopenie_1</t>
  </si>
  <si>
    <t>ei_sd_grippal_1</t>
  </si>
  <si>
    <t>ei_autre_1</t>
  </si>
  <si>
    <t>vhd_traitement_2</t>
  </si>
  <si>
    <t>reduction_cv_vhd_2</t>
  </si>
  <si>
    <t>cv_detectable_2</t>
  </si>
  <si>
    <t>ei_bin_2</t>
  </si>
  <si>
    <t>ei_neutropenie_2</t>
  </si>
  <si>
    <t>ei_anemie_2</t>
  </si>
  <si>
    <t>ei_thrombopenie_2</t>
  </si>
  <si>
    <t>ei_leucopenie_2</t>
  </si>
  <si>
    <t>ei_sd_grippal_2</t>
  </si>
  <si>
    <t>ei_autre_2</t>
  </si>
  <si>
    <t>vhd_traitement_3</t>
  </si>
  <si>
    <t>reduction_cv_vhd_3</t>
  </si>
  <si>
    <t>cv_detectable_3</t>
  </si>
  <si>
    <t>ei_bin_3</t>
  </si>
  <si>
    <t>ei_neutropenie_3</t>
  </si>
  <si>
    <t>ei_anemie_3</t>
  </si>
  <si>
    <t>ei_thrombopenie_3</t>
  </si>
  <si>
    <t>ei_leucopenie_3</t>
  </si>
  <si>
    <t>ei_sd_grippal_3</t>
  </si>
  <si>
    <t>ei_autre_3</t>
  </si>
  <si>
    <t>Groupe de variables</t>
  </si>
  <si>
    <t>m</t>
  </si>
  <si>
    <t>kg</t>
  </si>
  <si>
    <t>kg/m2</t>
  </si>
  <si>
    <t>UI/L</t>
  </si>
  <si>
    <t>µmol/L</t>
  </si>
  <si>
    <t>%</t>
  </si>
  <si>
    <t>G/L</t>
  </si>
  <si>
    <t>UI/MI</t>
  </si>
  <si>
    <t>binaire</t>
  </si>
  <si>
    <t>UI/ml</t>
  </si>
  <si>
    <t>ans depuis le diag de vhd</t>
  </si>
  <si>
    <t>si connu</t>
  </si>
  <si>
    <t>vhd charge virale pre traitement, si traitement</t>
  </si>
  <si>
    <t>vhd charge virale 0 mais un seul dosage fait</t>
  </si>
  <si>
    <t>modalité  / unit</t>
  </si>
  <si>
    <t>jamais/sevré/non sevré</t>
  </si>
  <si>
    <t>au diagnostic de VHD ????</t>
  </si>
  <si>
    <t>J'ai du mal à comprendre comment ces variables sont codifiées</t>
  </si>
  <si>
    <t>Non / pre diag / au diag / post diag</t>
  </si>
  <si>
    <t xml:space="preserve">COMPLICATIONS </t>
  </si>
  <si>
    <t>HEPATITE</t>
  </si>
  <si>
    <t>date</t>
  </si>
  <si>
    <t>positivity / log</t>
  </si>
  <si>
    <t>Iatrogène / sexuel / drogues iv / materno foetal / zone endémique / inconnu</t>
  </si>
  <si>
    <t>char</t>
  </si>
  <si>
    <t>M/F</t>
  </si>
  <si>
    <t>interdit d'utiliser cette variable en France</t>
  </si>
  <si>
    <t>NUC / non traité / autre</t>
  </si>
  <si>
    <t>Bulévirtide seul / Bulévirtide en association pegIFNa / pegIFNa / non traité</t>
  </si>
  <si>
    <t xml:space="preserve">TRAITEMENT 1ère ligne du VHD </t>
  </si>
  <si>
    <t xml:space="preserve">TRAITEMENT 2ème ligne du VHD </t>
  </si>
  <si>
    <t xml:space="preserve">TRAITEMENT 3ème ligne du VHD </t>
  </si>
  <si>
    <r>
      <t xml:space="preserve"> </t>
    </r>
    <r>
      <rPr>
        <sz val="11"/>
        <color theme="1"/>
        <rFont val="Calibri"/>
        <family val="2"/>
        <scheme val="minor"/>
      </rPr>
      <t>0 =  pas de reduction ??</t>
    </r>
  </si>
  <si>
    <t>pas de reduction /1 à 2 logs / &gt;2 logs</t>
  </si>
  <si>
    <t>trouble psy / hta / perturbation bh / arret tt / hyperthyroidie / insuffisance hypophysiaire / douleur site injection</t>
  </si>
  <si>
    <t>inconsistances dans les valeurs, mélange de charactères et chiffres et différentes unités</t>
  </si>
  <si>
    <t>pass / centre pénitencier / cegidd / csapa</t>
  </si>
  <si>
    <t>sero_vih_t1</t>
  </si>
  <si>
    <t>t1, t0 est le diag vhb</t>
  </si>
  <si>
    <t>au diagnostic de VHD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</si>
</sst>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BookAntiqua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color indexed="8"/>
      <name val="Arial"/>
      <family val="2"/>
    </font>
    <font>
      <sz val="11"/>
      <color theme="9" tint="-0.249977111117893"/>
      <name val="Calibri (Corps)"/>
    </font>
    <font>
      <sz val="11"/>
      <color rgb="FFFF0000"/>
      <name val="Calibri (Corps)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7030A0"/>
      <name val="Calibri (Corps)"/>
    </font>
    <font>
      <sz val="11"/>
      <color rgb="FF242424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7030A0"/>
      <name val="Calibri"/>
      <family val="2"/>
      <scheme val="minor"/>
    </font>
    <font>
      <sz val="11"/>
      <color rgb="FFFEBB00"/>
      <name val="Calibri"/>
      <family val="2"/>
      <scheme val="minor"/>
    </font>
    <font>
      <sz val="8"/>
      <color rgb="FF7F6000"/>
      <name val="Arial"/>
      <family val="2"/>
    </font>
    <font>
      <sz val="11"/>
      <color rgb="FF2F5496"/>
      <name val="Calibri"/>
      <family val="2"/>
      <scheme val="minor"/>
    </font>
    <font>
      <sz val="11"/>
      <color theme="1"/>
      <name val="Arial"/>
      <family val="2"/>
    </font>
    <font>
      <sz val="11"/>
      <color rgb="FF333333"/>
      <name val="Calibri"/>
      <family val="2"/>
      <scheme val="minor"/>
    </font>
    <font>
      <sz val="11"/>
      <color theme="1"/>
      <name val="Calibri (Corps)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161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EBB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D7A14"/>
        <bgColor indexed="64"/>
      </patternFill>
    </fill>
    <fill>
      <patternFill patternType="solid">
        <fgColor rgb="FFA5A0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A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/>
    <xf numFmtId="0" fontId="5" fillId="0" borderId="0"/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5" fillId="7" borderId="1" xfId="6" applyBorder="1" applyAlignment="1">
      <alignment horizontal="center" vertical="center"/>
    </xf>
    <xf numFmtId="0" fontId="5" fillId="4" borderId="12" xfId="3" applyBorder="1" applyAlignment="1">
      <alignment horizontal="center" vertical="center"/>
    </xf>
    <xf numFmtId="0" fontId="5" fillId="4" borderId="13" xfId="3" applyBorder="1" applyAlignment="1">
      <alignment horizontal="center" vertical="center"/>
    </xf>
    <xf numFmtId="0" fontId="5" fillId="7" borderId="2" xfId="6" applyBorder="1" applyAlignment="1">
      <alignment horizontal="center" vertical="center"/>
    </xf>
    <xf numFmtId="0" fontId="5" fillId="13" borderId="1" xfId="12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5" fillId="10" borderId="2" xfId="9" applyBorder="1" applyAlignment="1">
      <alignment horizontal="center" vertical="center"/>
    </xf>
    <xf numFmtId="0" fontId="5" fillId="4" borderId="4" xfId="3" applyBorder="1" applyAlignment="1">
      <alignment horizontal="center" vertical="center" wrapText="1"/>
    </xf>
    <xf numFmtId="0" fontId="5" fillId="4" borderId="1" xfId="3" applyBorder="1" applyAlignment="1">
      <alignment horizontal="center" vertical="center" wrapText="1"/>
    </xf>
    <xf numFmtId="0" fontId="5" fillId="10" borderId="4" xfId="9" applyBorder="1" applyAlignment="1">
      <alignment horizontal="center" vertical="center" wrapText="1"/>
    </xf>
    <xf numFmtId="0" fontId="5" fillId="10" borderId="2" xfId="9" applyBorder="1" applyAlignment="1">
      <alignment horizontal="center" vertical="center" wrapText="1"/>
    </xf>
    <xf numFmtId="0" fontId="5" fillId="7" borderId="1" xfId="6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7" borderId="2" xfId="6" applyBorder="1" applyAlignment="1">
      <alignment horizontal="center" vertical="center" wrapText="1"/>
    </xf>
    <xf numFmtId="0" fontId="5" fillId="6" borderId="2" xfId="5" applyBorder="1" applyAlignment="1">
      <alignment horizontal="center" vertical="center" wrapText="1"/>
    </xf>
    <xf numFmtId="0" fontId="5" fillId="6" borderId="5" xfId="5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5" fillId="15" borderId="4" xfId="6" applyFill="1" applyBorder="1" applyAlignment="1">
      <alignment horizontal="center" vertical="center" wrapText="1"/>
    </xf>
    <xf numFmtId="0" fontId="5" fillId="15" borderId="2" xfId="6" applyFill="1" applyBorder="1" applyAlignment="1">
      <alignment horizontal="center" vertical="center" wrapText="1"/>
    </xf>
    <xf numFmtId="0" fontId="5" fillId="0" borderId="8" xfId="5" applyFill="1" applyBorder="1" applyAlignment="1">
      <alignment horizontal="center" vertical="center" wrapText="1"/>
    </xf>
    <xf numFmtId="0" fontId="5" fillId="0" borderId="9" xfId="5" applyFill="1" applyBorder="1" applyAlignment="1">
      <alignment horizontal="center" vertical="center" wrapText="1"/>
    </xf>
    <xf numFmtId="14" fontId="5" fillId="13" borderId="2" xfId="12" applyNumberFormat="1" applyBorder="1" applyAlignment="1">
      <alignment horizontal="center" vertical="center" wrapText="1"/>
    </xf>
    <xf numFmtId="0" fontId="5" fillId="13" borderId="31" xfId="12" applyBorder="1" applyAlignment="1">
      <alignment horizontal="center" vertical="center" wrapText="1"/>
    </xf>
    <xf numFmtId="0" fontId="5" fillId="13" borderId="1" xfId="12" applyBorder="1" applyAlignment="1">
      <alignment horizontal="center" vertical="center" wrapText="1"/>
    </xf>
    <xf numFmtId="0" fontId="6" fillId="11" borderId="6" xfId="10" applyBorder="1" applyAlignment="1">
      <alignment horizontal="center" vertical="center" wrapText="1"/>
    </xf>
    <xf numFmtId="0" fontId="5" fillId="22" borderId="1" xfId="10" applyFont="1" applyFill="1" applyBorder="1" applyAlignment="1">
      <alignment horizontal="center" vertical="center" wrapText="1"/>
    </xf>
    <xf numFmtId="0" fontId="5" fillId="22" borderId="2" xfId="10" applyFont="1" applyFill="1" applyBorder="1" applyAlignment="1">
      <alignment horizontal="center" vertical="center" wrapText="1"/>
    </xf>
    <xf numFmtId="0" fontId="5" fillId="18" borderId="29" xfId="12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18" borderId="1" xfId="12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5" fillId="18" borderId="2" xfId="12" applyFill="1" applyBorder="1" applyAlignment="1">
      <alignment horizontal="center" vertical="center" wrapText="1"/>
    </xf>
    <xf numFmtId="0" fontId="5" fillId="18" borderId="26" xfId="12" applyFill="1" applyBorder="1" applyAlignment="1">
      <alignment horizontal="center" vertical="center" wrapText="1"/>
    </xf>
    <xf numFmtId="0" fontId="29" fillId="26" borderId="15" xfId="0" applyFont="1" applyFill="1" applyBorder="1" applyAlignment="1">
      <alignment horizontal="center" vertical="center" wrapText="1"/>
    </xf>
    <xf numFmtId="0" fontId="5" fillId="26" borderId="0" xfId="12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6" fillId="27" borderId="15" xfId="0" applyFont="1" applyFill="1" applyBorder="1" applyAlignment="1">
      <alignment horizontal="center" vertical="center" wrapText="1"/>
    </xf>
    <xf numFmtId="0" fontId="5" fillId="27" borderId="0" xfId="12" applyFill="1" applyBorder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0" fontId="29" fillId="25" borderId="15" xfId="0" applyFont="1" applyFill="1" applyBorder="1" applyAlignment="1">
      <alignment horizontal="center" vertical="center" wrapText="1"/>
    </xf>
    <xf numFmtId="0" fontId="5" fillId="25" borderId="0" xfId="12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12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1" fillId="28" borderId="0" xfId="0" applyFont="1" applyFill="1" applyAlignment="1">
      <alignment horizontal="center" wrapText="1"/>
    </xf>
    <xf numFmtId="0" fontId="5" fillId="30" borderId="1" xfId="6" applyFill="1" applyBorder="1" applyAlignment="1">
      <alignment horizontal="center" vertical="center" wrapText="1"/>
    </xf>
    <xf numFmtId="0" fontId="5" fillId="30" borderId="23" xfId="5" applyFill="1" applyBorder="1" applyAlignment="1">
      <alignment horizontal="center" vertical="center" wrapText="1"/>
    </xf>
    <xf numFmtId="0" fontId="5" fillId="30" borderId="7" xfId="5" applyFill="1" applyBorder="1" applyAlignment="1">
      <alignment horizontal="center" vertical="center" wrapText="1"/>
    </xf>
    <xf numFmtId="0" fontId="5" fillId="30" borderId="5" xfId="5" applyFill="1" applyBorder="1" applyAlignment="1">
      <alignment horizontal="center" vertical="center" wrapText="1"/>
    </xf>
    <xf numFmtId="0" fontId="5" fillId="30" borderId="14" xfId="6" applyFill="1" applyBorder="1" applyAlignment="1">
      <alignment horizontal="center" vertical="center" wrapText="1"/>
    </xf>
    <xf numFmtId="0" fontId="5" fillId="29" borderId="1" xfId="5" applyFill="1" applyBorder="1" applyAlignment="1">
      <alignment vertical="center" wrapText="1"/>
    </xf>
    <xf numFmtId="0" fontId="5" fillId="9" borderId="5" xfId="8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 wrapText="1"/>
    </xf>
    <xf numFmtId="0" fontId="0" fillId="23" borderId="29" xfId="0" applyFill="1" applyBorder="1" applyAlignment="1">
      <alignment horizontal="center" vertical="center" wrapText="1"/>
    </xf>
    <xf numFmtId="0" fontId="5" fillId="16" borderId="2" xfId="5" applyFill="1" applyBorder="1" applyAlignment="1">
      <alignment horizontal="center" vertical="center" wrapText="1"/>
    </xf>
    <xf numFmtId="14" fontId="5" fillId="0" borderId="9" xfId="5" applyNumberFormat="1" applyFill="1" applyBorder="1" applyAlignment="1">
      <alignment horizontal="center" vertical="center" wrapText="1"/>
    </xf>
    <xf numFmtId="0" fontId="5" fillId="13" borderId="34" xfId="12" applyBorder="1" applyAlignment="1">
      <alignment horizontal="center" vertical="center" wrapText="1"/>
    </xf>
    <xf numFmtId="0" fontId="5" fillId="12" borderId="3" xfId="11" applyBorder="1" applyAlignment="1">
      <alignment horizontal="center" vertical="center" wrapText="1"/>
    </xf>
    <xf numFmtId="0" fontId="5" fillId="12" borderId="2" xfId="11" applyBorder="1" applyAlignment="1">
      <alignment horizontal="center" vertical="center" wrapText="1"/>
    </xf>
    <xf numFmtId="0" fontId="5" fillId="13" borderId="2" xfId="12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19" borderId="29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wrapText="1"/>
    </xf>
    <xf numFmtId="0" fontId="5" fillId="3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9" borderId="1" xfId="5" applyFont="1" applyFill="1" applyBorder="1" applyAlignment="1">
      <alignment horizontal="center" vertical="center" wrapText="1"/>
    </xf>
    <xf numFmtId="0" fontId="0" fillId="6" borderId="2" xfId="5" applyFont="1" applyBorder="1" applyAlignment="1">
      <alignment horizontal="center" vertical="center" wrapText="1"/>
    </xf>
    <xf numFmtId="0" fontId="5" fillId="18" borderId="3" xfId="12" applyFill="1" applyBorder="1" applyAlignment="1">
      <alignment horizontal="center" vertical="center" wrapText="1"/>
    </xf>
    <xf numFmtId="0" fontId="5" fillId="13" borderId="3" xfId="12" applyBorder="1" applyAlignment="1">
      <alignment horizontal="center" vertical="center" wrapText="1"/>
    </xf>
    <xf numFmtId="0" fontId="0" fillId="22" borderId="1" xfId="10" applyFont="1" applyFill="1" applyBorder="1" applyAlignment="1">
      <alignment horizontal="center" vertical="center"/>
    </xf>
    <xf numFmtId="0" fontId="7" fillId="0" borderId="30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5" fillId="4" borderId="6" xfId="3" applyBorder="1" applyAlignment="1">
      <alignment horizontal="center" vertical="center" wrapText="1"/>
    </xf>
    <xf numFmtId="0" fontId="5" fillId="4" borderId="5" xfId="3" applyBorder="1" applyAlignment="1">
      <alignment horizontal="center" vertical="center" wrapText="1"/>
    </xf>
    <xf numFmtId="0" fontId="5" fillId="10" borderId="6" xfId="9" applyBorder="1" applyAlignment="1">
      <alignment horizontal="center" vertical="center" wrapText="1"/>
    </xf>
    <xf numFmtId="0" fontId="5" fillId="10" borderId="5" xfId="9" applyBorder="1" applyAlignment="1">
      <alignment horizontal="center" vertical="center" wrapText="1"/>
    </xf>
    <xf numFmtId="0" fontId="5" fillId="7" borderId="5" xfId="6" applyBorder="1" applyAlignment="1">
      <alignment horizontal="center" vertical="center" wrapText="1"/>
    </xf>
    <xf numFmtId="0" fontId="5" fillId="30" borderId="2" xfId="6" applyFill="1" applyBorder="1" applyAlignment="1">
      <alignment horizontal="center" vertical="center" wrapText="1"/>
    </xf>
    <xf numFmtId="0" fontId="5" fillId="30" borderId="6" xfId="5" applyFill="1" applyBorder="1" applyAlignment="1">
      <alignment horizontal="center" vertical="center" wrapText="1"/>
    </xf>
    <xf numFmtId="0" fontId="5" fillId="30" borderId="0" xfId="6" applyFill="1" applyBorder="1" applyAlignment="1">
      <alignment horizontal="center" vertical="center" wrapText="1"/>
    </xf>
    <xf numFmtId="0" fontId="5" fillId="15" borderId="36" xfId="6" applyFill="1" applyBorder="1" applyAlignment="1">
      <alignment horizontal="center" vertical="center" wrapText="1"/>
    </xf>
    <xf numFmtId="0" fontId="5" fillId="15" borderId="6" xfId="6" applyFill="1" applyBorder="1" applyAlignment="1">
      <alignment horizontal="center" vertical="center" wrapText="1"/>
    </xf>
    <xf numFmtId="0" fontId="5" fillId="23" borderId="36" xfId="6" applyFill="1" applyBorder="1" applyAlignment="1">
      <alignment horizontal="center" vertical="center" wrapText="1"/>
    </xf>
    <xf numFmtId="0" fontId="5" fillId="23" borderId="6" xfId="6" applyFill="1" applyBorder="1" applyAlignment="1">
      <alignment horizontal="center" vertical="center" wrapText="1"/>
    </xf>
    <xf numFmtId="0" fontId="5" fillId="15" borderId="0" xfId="6" applyFill="1" applyBorder="1" applyAlignment="1">
      <alignment horizontal="center" vertical="center" wrapText="1"/>
    </xf>
    <xf numFmtId="0" fontId="5" fillId="15" borderId="8" xfId="6" applyFill="1" applyBorder="1" applyAlignment="1">
      <alignment horizontal="center" vertical="center" wrapText="1"/>
    </xf>
    <xf numFmtId="0" fontId="5" fillId="15" borderId="9" xfId="6" applyFill="1" applyBorder="1" applyAlignment="1">
      <alignment horizontal="center" vertical="center" wrapText="1"/>
    </xf>
    <xf numFmtId="14" fontId="5" fillId="13" borderId="9" xfId="12" applyNumberFormat="1" applyBorder="1" applyAlignment="1">
      <alignment horizontal="center" vertical="center" wrapText="1"/>
    </xf>
    <xf numFmtId="0" fontId="5" fillId="13" borderId="0" xfId="12" applyBorder="1" applyAlignment="1">
      <alignment horizontal="center" vertical="center" wrapText="1"/>
    </xf>
    <xf numFmtId="0" fontId="5" fillId="22" borderId="0" xfId="10" applyFont="1" applyFill="1" applyBorder="1" applyAlignment="1">
      <alignment horizontal="center" vertical="center" wrapText="1"/>
    </xf>
    <xf numFmtId="0" fontId="5" fillId="18" borderId="17" xfId="12" applyFill="1" applyBorder="1" applyAlignment="1">
      <alignment horizontal="center" vertical="center" wrapText="1"/>
    </xf>
    <xf numFmtId="0" fontId="6" fillId="2" borderId="15" xfId="1" applyBorder="1" applyAlignment="1">
      <alignment vertical="center" wrapText="1"/>
    </xf>
    <xf numFmtId="0" fontId="6" fillId="2" borderId="0" xfId="1" applyBorder="1" applyAlignment="1">
      <alignment vertical="center" wrapText="1"/>
    </xf>
    <xf numFmtId="0" fontId="6" fillId="2" borderId="6" xfId="1" applyBorder="1" applyAlignment="1">
      <alignment vertical="center" wrapText="1"/>
    </xf>
    <xf numFmtId="0" fontId="6" fillId="17" borderId="24" xfId="0" applyFont="1" applyFill="1" applyBorder="1" applyAlignment="1">
      <alignment vertical="center" wrapText="1"/>
    </xf>
    <xf numFmtId="0" fontId="6" fillId="17" borderId="27" xfId="0" applyFont="1" applyFill="1" applyBorder="1" applyAlignment="1">
      <alignment vertical="center" wrapText="1"/>
    </xf>
    <xf numFmtId="0" fontId="6" fillId="17" borderId="28" xfId="0" applyFont="1" applyFill="1" applyBorder="1" applyAlignment="1">
      <alignment vertical="center" wrapText="1"/>
    </xf>
    <xf numFmtId="0" fontId="5" fillId="18" borderId="29" xfId="12" applyFill="1" applyBorder="1" applyAlignment="1">
      <alignment vertical="center" wrapText="1"/>
    </xf>
    <xf numFmtId="0" fontId="5" fillId="18" borderId="3" xfId="12" applyFill="1" applyBorder="1" applyAlignment="1">
      <alignment vertical="center" wrapText="1"/>
    </xf>
    <xf numFmtId="0" fontId="5" fillId="18" borderId="1" xfId="12" applyFill="1" applyBorder="1" applyAlignment="1">
      <alignment vertical="center" wrapText="1"/>
    </xf>
    <xf numFmtId="0" fontId="0" fillId="20" borderId="2" xfId="0" applyFill="1" applyBorder="1" applyAlignment="1">
      <alignment vertical="center" wrapText="1"/>
    </xf>
    <xf numFmtId="0" fontId="0" fillId="20" borderId="3" xfId="0" applyFill="1" applyBorder="1" applyAlignment="1">
      <alignment vertical="center" wrapText="1"/>
    </xf>
    <xf numFmtId="0" fontId="6" fillId="11" borderId="6" xfId="10" applyBorder="1" applyAlignment="1">
      <alignment vertical="center" wrapText="1"/>
    </xf>
    <xf numFmtId="0" fontId="5" fillId="13" borderId="3" xfId="12" applyBorder="1" applyAlignment="1">
      <alignment vertical="center" wrapText="1"/>
    </xf>
    <xf numFmtId="0" fontId="6" fillId="8" borderId="2" xfId="7" applyBorder="1" applyAlignment="1">
      <alignment vertical="center" wrapText="1"/>
    </xf>
    <xf numFmtId="0" fontId="6" fillId="8" borderId="3" xfId="7" applyBorder="1" applyAlignment="1">
      <alignment vertical="center" wrapText="1"/>
    </xf>
    <xf numFmtId="0" fontId="5" fillId="10" borderId="2" xfId="9" applyBorder="1" applyAlignment="1">
      <alignment vertical="center" wrapText="1"/>
    </xf>
    <xf numFmtId="0" fontId="5" fillId="10" borderId="3" xfId="9" applyBorder="1" applyAlignment="1">
      <alignment vertical="center" wrapText="1"/>
    </xf>
    <xf numFmtId="0" fontId="6" fillId="5" borderId="8" xfId="4" applyBorder="1" applyAlignment="1">
      <alignment vertical="center" wrapText="1"/>
    </xf>
    <xf numFmtId="0" fontId="6" fillId="5" borderId="9" xfId="4" applyBorder="1" applyAlignment="1">
      <alignment vertical="center" wrapText="1"/>
    </xf>
    <xf numFmtId="0" fontId="5" fillId="7" borderId="1" xfId="6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0" fillId="3" borderId="31" xfId="2" applyFont="1" applyBorder="1" applyAlignment="1">
      <alignment vertical="center" wrapText="1"/>
    </xf>
    <xf numFmtId="0" fontId="5" fillId="3" borderId="32" xfId="2" applyBorder="1" applyAlignment="1">
      <alignment vertical="center" wrapText="1"/>
    </xf>
    <xf numFmtId="0" fontId="5" fillId="3" borderId="7" xfId="2" applyBorder="1" applyAlignment="1">
      <alignment vertical="center" wrapText="1"/>
    </xf>
    <xf numFmtId="0" fontId="0" fillId="29" borderId="1" xfId="5" applyFont="1" applyFill="1" applyBorder="1" applyAlignment="1">
      <alignment vertical="center" wrapText="1"/>
    </xf>
    <xf numFmtId="0" fontId="6" fillId="21" borderId="6" xfId="0" applyFont="1" applyFill="1" applyBorder="1" applyAlignment="1">
      <alignment wrapText="1"/>
    </xf>
    <xf numFmtId="0" fontId="5" fillId="18" borderId="2" xfId="12" applyFill="1" applyBorder="1" applyAlignment="1">
      <alignment vertical="center" wrapText="1"/>
    </xf>
    <xf numFmtId="0" fontId="6" fillId="14" borderId="8" xfId="4" applyFill="1" applyBorder="1" applyAlignment="1">
      <alignment vertical="center" wrapText="1"/>
    </xf>
    <xf numFmtId="0" fontId="6" fillId="14" borderId="9" xfId="4" applyFill="1" applyBorder="1" applyAlignment="1">
      <alignment vertical="center" wrapText="1"/>
    </xf>
    <xf numFmtId="0" fontId="6" fillId="14" borderId="3" xfId="4" applyFill="1" applyBorder="1" applyAlignment="1">
      <alignment vertical="center" wrapText="1"/>
    </xf>
    <xf numFmtId="0" fontId="5" fillId="15" borderId="24" xfId="6" applyFill="1" applyBorder="1" applyAlignment="1">
      <alignment vertical="center" wrapText="1"/>
    </xf>
    <xf numFmtId="0" fontId="5" fillId="15" borderId="27" xfId="6" applyFill="1" applyBorder="1" applyAlignment="1">
      <alignment vertical="center" wrapText="1"/>
    </xf>
    <xf numFmtId="0" fontId="5" fillId="15" borderId="28" xfId="6" applyFill="1" applyBorder="1" applyAlignment="1">
      <alignment vertical="center" wrapText="1"/>
    </xf>
    <xf numFmtId="0" fontId="5" fillId="23" borderId="24" xfId="6" applyFill="1" applyBorder="1" applyAlignment="1">
      <alignment vertical="center" wrapText="1"/>
    </xf>
    <xf numFmtId="0" fontId="5" fillId="23" borderId="27" xfId="6" applyFill="1" applyBorder="1" applyAlignment="1">
      <alignment vertical="center" wrapText="1"/>
    </xf>
    <xf numFmtId="0" fontId="5" fillId="23" borderId="28" xfId="6" applyFill="1" applyBorder="1" applyAlignment="1">
      <alignment vertical="center" wrapText="1"/>
    </xf>
    <xf numFmtId="0" fontId="5" fillId="15" borderId="1" xfId="6" applyFill="1" applyBorder="1" applyAlignment="1">
      <alignment vertical="center" wrapText="1"/>
    </xf>
    <xf numFmtId="0" fontId="5" fillId="13" borderId="33" xfId="12" applyBorder="1" applyAlignment="1">
      <alignment horizontal="center" vertical="center"/>
    </xf>
    <xf numFmtId="0" fontId="5" fillId="13" borderId="10" xfId="12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6" fillId="21" borderId="6" xfId="0" applyFont="1" applyFill="1" applyBorder="1" applyAlignment="1">
      <alignment horizontal="center" vertical="center" wrapText="1"/>
    </xf>
    <xf numFmtId="0" fontId="34" fillId="0" borderId="0" xfId="0" applyFont="1"/>
    <xf numFmtId="0" fontId="34" fillId="31" borderId="0" xfId="0" applyFont="1" applyFill="1" applyAlignment="1">
      <alignment horizontal="center" vertical="center"/>
    </xf>
    <xf numFmtId="0" fontId="34" fillId="19" borderId="1" xfId="0" applyFont="1" applyFill="1" applyBorder="1" applyAlignment="1">
      <alignment horizontal="center" vertical="center"/>
    </xf>
    <xf numFmtId="0" fontId="33" fillId="19" borderId="1" xfId="0" applyFont="1" applyFill="1" applyBorder="1" applyAlignment="1">
      <alignment horizontal="center" vertical="center"/>
    </xf>
    <xf numFmtId="0" fontId="34" fillId="31" borderId="0" xfId="0" applyFont="1" applyFill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5" fillId="13" borderId="33" xfId="12" applyBorder="1" applyAlignment="1">
      <alignment horizontal="center" vertical="center" wrapText="1"/>
    </xf>
    <xf numFmtId="0" fontId="0" fillId="22" borderId="1" xfId="1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/>
    </xf>
    <xf numFmtId="0" fontId="6" fillId="32" borderId="0" xfId="0" applyFont="1" applyFill="1"/>
    <xf numFmtId="0" fontId="33" fillId="7" borderId="1" xfId="6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6" fillId="0" borderId="0" xfId="13" applyNumberForma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2" borderId="11" xfId="1" applyBorder="1" applyAlignment="1">
      <alignment horizontal="center" vertical="center"/>
    </xf>
    <xf numFmtId="14" fontId="5" fillId="4" borderId="4" xfId="3" applyNumberFormat="1" applyBorder="1" applyAlignment="1">
      <alignment horizontal="center" vertical="center"/>
    </xf>
    <xf numFmtId="0" fontId="5" fillId="4" borderId="1" xfId="3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28" fillId="0" borderId="22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4" fontId="0" fillId="0" borderId="0" xfId="14" applyNumberFormat="1" applyFont="1" applyAlignment="1">
      <alignment horizontal="center" vertical="center"/>
    </xf>
    <xf numFmtId="49" fontId="0" fillId="0" borderId="0" xfId="14" applyNumberFormat="1" applyFont="1" applyAlignment="1">
      <alignment horizontal="center" vertical="center"/>
    </xf>
    <xf numFmtId="14" fontId="4" fillId="0" borderId="0" xfId="14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1" fillId="0" borderId="0" xfId="14" applyNumberFormat="1" applyFont="1" applyAlignment="1">
      <alignment horizontal="center" vertical="center"/>
    </xf>
    <xf numFmtId="49" fontId="2" fillId="0" borderId="0" xfId="14" applyNumberFormat="1" applyFont="1" applyAlignment="1">
      <alignment horizontal="center" vertical="center"/>
    </xf>
    <xf numFmtId="0" fontId="6" fillId="17" borderId="38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6" fillId="8" borderId="9" xfId="7" applyBorder="1" applyAlignment="1">
      <alignment horizontal="center" vertical="center" wrapText="1"/>
    </xf>
    <xf numFmtId="0" fontId="6" fillId="8" borderId="0" xfId="7" applyBorder="1" applyAlignment="1">
      <alignment horizontal="center" vertical="center" wrapText="1"/>
    </xf>
    <xf numFmtId="0" fontId="6" fillId="8" borderId="6" xfId="7" applyBorder="1" applyAlignment="1">
      <alignment horizontal="center" vertical="center" wrapText="1"/>
    </xf>
    <xf numFmtId="0" fontId="6" fillId="5" borderId="31" xfId="4" applyBorder="1" applyAlignment="1">
      <alignment horizontal="center" vertical="center" wrapText="1"/>
    </xf>
    <xf numFmtId="0" fontId="6" fillId="5" borderId="32" xfId="4" applyBorder="1" applyAlignment="1">
      <alignment horizontal="center" vertical="center" wrapText="1"/>
    </xf>
    <xf numFmtId="0" fontId="6" fillId="5" borderId="7" xfId="4" applyBorder="1" applyAlignment="1">
      <alignment horizontal="center" vertical="center" wrapText="1"/>
    </xf>
    <xf numFmtId="0" fontId="6" fillId="14" borderId="37" xfId="4" applyFill="1" applyBorder="1" applyAlignment="1">
      <alignment horizontal="center" vertical="center" wrapText="1"/>
    </xf>
    <xf numFmtId="0" fontId="6" fillId="14" borderId="18" xfId="4" applyFill="1" applyBorder="1" applyAlignment="1">
      <alignment horizontal="center" vertical="center" wrapText="1"/>
    </xf>
    <xf numFmtId="0" fontId="6" fillId="11" borderId="0" xfId="10" applyBorder="1" applyAlignment="1">
      <alignment horizontal="center" vertical="center" wrapText="1"/>
    </xf>
  </cellXfs>
  <cellStyles count="16">
    <cellStyle name="20 % - Accent1" xfId="2" builtinId="30"/>
    <cellStyle name="40 % - Accent2" xfId="5" builtinId="35"/>
    <cellStyle name="40 % - Accent5" xfId="8" builtinId="47"/>
    <cellStyle name="40 % - Accent6" xfId="11" builtinId="51"/>
    <cellStyle name="60 % - Accent1" xfId="3" builtinId="32"/>
    <cellStyle name="60 % - Accent2" xfId="6" builtinId="36"/>
    <cellStyle name="60 % - Accent5" xfId="9" builtinId="48"/>
    <cellStyle name="60 % - Accent6" xfId="12" builtinId="52"/>
    <cellStyle name="Accent1" xfId="1" builtinId="29"/>
    <cellStyle name="Accent2" xfId="4" builtinId="33"/>
    <cellStyle name="Accent5" xfId="7" builtinId="45"/>
    <cellStyle name="Accent6" xfId="10" builtinId="49"/>
    <cellStyle name="Lien hypertexte" xfId="13" builtinId="8"/>
    <cellStyle name="Normal" xfId="0" builtinId="0"/>
    <cellStyle name="Normal 2" xfId="14"/>
    <cellStyle name="Normal 3" xfId="15"/>
  </cellStyles>
  <dxfs count="0"/>
  <tableStyles count="0" defaultTableStyle="TableStyleMedium2" defaultPivotStyle="PivotStyleLight16"/>
  <colors>
    <mruColors>
      <color rgb="FFFF8F8F"/>
      <color rgb="FFFFCA33"/>
      <color rgb="FFFFE5E5"/>
      <color rgb="FFA74BEF"/>
      <color rgb="FFFEBB00"/>
      <color rgb="FFFF6161"/>
      <color rgb="FFFFC521"/>
      <color rgb="FFE2A700"/>
      <color rgb="FFFFCDCD"/>
      <color rgb="FFFFD5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 filterMode="1"/>
  <dimension ref="A1:DC369"/>
  <sheetViews>
    <sheetView tabSelected="1" zoomScaleNormal="100" workbookViewId="0">
      <pane xSplit="1" ySplit="1" topLeftCell="AZ112" activePane="bottomRight" state="frozen"/>
      <selection pane="topRight" activeCell="I1" sqref="I1"/>
      <selection pane="bottomLeft" activeCell="A12" sqref="A12"/>
      <selection pane="bottomRight" activeCell="BC127" sqref="BC127"/>
    </sheetView>
  </sheetViews>
  <sheetFormatPr baseColWidth="10" defaultColWidth="11.5546875" defaultRowHeight="14.4"/>
  <cols>
    <col min="1" max="1" width="15.6640625" style="4" customWidth="1"/>
    <col min="2" max="2" width="11.33203125" style="171" customWidth="1"/>
    <col min="3" max="3" width="19.6640625" style="1" customWidth="1"/>
    <col min="4" max="5" width="9.109375" style="1" customWidth="1"/>
    <col min="6" max="6" width="12.33203125" style="1" customWidth="1"/>
    <col min="7" max="7" width="22.6640625" style="1" hidden="1" customWidth="1"/>
    <col min="8" max="9" width="22.6640625" style="1" customWidth="1"/>
    <col min="10" max="10" width="11.5546875" style="1"/>
    <col min="11" max="11" width="12.6640625" style="1" customWidth="1"/>
    <col min="12" max="12" width="10.44140625" style="1" customWidth="1"/>
    <col min="13" max="14" width="11.5546875" style="1"/>
    <col min="15" max="15" width="12.77734375" style="1" customWidth="1"/>
    <col min="16" max="19" width="11.5546875" style="1"/>
    <col min="20" max="20" width="8.109375" style="1" customWidth="1"/>
    <col min="21" max="21" width="9.109375" style="1" customWidth="1"/>
    <col min="22" max="22" width="10.109375" style="1" customWidth="1"/>
    <col min="23" max="23" width="15.109375" style="1" customWidth="1"/>
    <col min="24" max="24" width="14.109375" style="1" customWidth="1"/>
    <col min="25" max="25" width="11.5546875" style="1"/>
    <col min="26" max="26" width="16.6640625" style="1" bestFit="1" customWidth="1"/>
    <col min="27" max="27" width="16.21875" style="1" bestFit="1" customWidth="1"/>
    <col min="28" max="28" width="24.77734375" style="1" customWidth="1"/>
    <col min="29" max="29" width="21" style="1" customWidth="1"/>
    <col min="30" max="30" width="18.21875" style="1" customWidth="1"/>
    <col min="31" max="31" width="18.33203125" style="1" customWidth="1"/>
    <col min="32" max="32" width="13.21875" style="1" customWidth="1"/>
    <col min="33" max="33" width="19.109375" style="1" customWidth="1"/>
    <col min="34" max="36" width="11.44140625" style="1" customWidth="1"/>
    <col min="37" max="37" width="14.44140625" style="1" customWidth="1"/>
    <col min="38" max="38" width="20.109375" style="1" bestFit="1" customWidth="1"/>
    <col min="39" max="39" width="22.33203125" style="1" bestFit="1" customWidth="1"/>
    <col min="40" max="40" width="18.33203125" style="1" bestFit="1" customWidth="1"/>
    <col min="41" max="42" width="36.6640625" style="1" bestFit="1" customWidth="1"/>
    <col min="43" max="43" width="15.33203125" style="1" bestFit="1" customWidth="1"/>
    <col min="44" max="44" width="28.109375" style="1" bestFit="1" customWidth="1"/>
    <col min="45" max="45" width="26.44140625" style="1" bestFit="1" customWidth="1"/>
    <col min="46" max="46" width="15.109375" style="1" bestFit="1" customWidth="1"/>
    <col min="47" max="47" width="17.77734375" style="1" bestFit="1" customWidth="1"/>
    <col min="48" max="48" width="13.109375" style="168" customWidth="1"/>
    <col min="49" max="49" width="16.44140625" style="1" bestFit="1" customWidth="1"/>
    <col min="50" max="50" width="21" style="1" bestFit="1" customWidth="1"/>
    <col min="51" max="51" width="41" style="1" customWidth="1"/>
    <col min="52" max="52" width="22" style="1" bestFit="1" customWidth="1"/>
    <col min="53" max="53" width="16.109375" style="1" customWidth="1"/>
    <col min="54" max="54" width="29.88671875" style="1" customWidth="1"/>
    <col min="55" max="55" width="20.6640625" style="1" customWidth="1"/>
    <col min="56" max="56" width="15.88671875" style="1" customWidth="1"/>
    <col min="57" max="57" width="15.88671875" style="1" bestFit="1" customWidth="1"/>
    <col min="58" max="58" width="15.44140625" style="1" bestFit="1" customWidth="1"/>
    <col min="59" max="59" width="11.44140625" style="1" bestFit="1" customWidth="1"/>
    <col min="60" max="60" width="17.21875" style="1" bestFit="1" customWidth="1"/>
    <col min="61" max="61" width="14.44140625" style="1" bestFit="1" customWidth="1"/>
    <col min="62" max="62" width="13.77734375" style="1" bestFit="1" customWidth="1"/>
    <col min="63" max="63" width="41.88671875" style="1" bestFit="1" customWidth="1"/>
    <col min="64" max="64" width="29.33203125" style="1" bestFit="1" customWidth="1"/>
    <col min="65" max="65" width="17.6640625" style="1" bestFit="1" customWidth="1"/>
    <col min="66" max="66" width="14.5546875" style="1" bestFit="1" customWidth="1"/>
    <col min="67" max="67" width="16.33203125" style="1" bestFit="1" customWidth="1"/>
    <col min="68" max="68" width="15.44140625" style="1" bestFit="1" customWidth="1"/>
    <col min="69" max="69" width="11.44140625" style="1" bestFit="1" customWidth="1"/>
    <col min="70" max="70" width="17.21875" style="1" bestFit="1" customWidth="1"/>
    <col min="71" max="71" width="14.44140625" style="1" bestFit="1" customWidth="1"/>
    <col min="72" max="72" width="13.77734375" style="1" bestFit="1" customWidth="1"/>
    <col min="73" max="73" width="9.77734375" style="1" bestFit="1" customWidth="1"/>
    <col min="74" max="74" width="29.33203125" style="1" bestFit="1" customWidth="1"/>
    <col min="75" max="75" width="29.33203125" style="1" customWidth="1"/>
    <col min="76" max="76" width="20" style="1" customWidth="1"/>
    <col min="77" max="77" width="22.6640625" style="1" bestFit="1" customWidth="1"/>
    <col min="78" max="78" width="15.44140625" style="1" bestFit="1" customWidth="1"/>
    <col min="79" max="79" width="11.44140625" style="1" bestFit="1" customWidth="1"/>
    <col min="80" max="80" width="17.21875" style="1" bestFit="1" customWidth="1"/>
    <col min="81" max="81" width="14.44140625" style="1" bestFit="1" customWidth="1"/>
    <col min="82" max="82" width="13.77734375" style="1" bestFit="1" customWidth="1"/>
    <col min="83" max="83" width="9.77734375" style="1" bestFit="1" customWidth="1"/>
    <col min="84" max="84" width="25.44140625" style="1" customWidth="1"/>
    <col min="85" max="85" width="15.109375" style="1" customWidth="1"/>
    <col min="86" max="86" width="16.33203125" style="1" customWidth="1"/>
    <col min="87" max="87" width="82.21875" style="15" customWidth="1"/>
    <col min="88" max="16384" width="11.5546875" style="1"/>
  </cols>
  <sheetData>
    <row r="1" spans="1:90" s="192" customFormat="1" ht="15" thickBot="1">
      <c r="A1" s="189" t="s">
        <v>475</v>
      </c>
      <c r="B1" s="190" t="s">
        <v>474</v>
      </c>
      <c r="C1" s="191" t="s">
        <v>463</v>
      </c>
      <c r="D1" s="9" t="s">
        <v>423</v>
      </c>
      <c r="E1" s="9" t="s">
        <v>473</v>
      </c>
      <c r="F1" s="9" t="s">
        <v>462</v>
      </c>
      <c r="G1" s="9" t="s">
        <v>420</v>
      </c>
      <c r="H1" s="9" t="s">
        <v>421</v>
      </c>
      <c r="I1" s="9" t="s">
        <v>422</v>
      </c>
      <c r="J1" s="2" t="s">
        <v>424</v>
      </c>
      <c r="K1" s="2" t="s">
        <v>425</v>
      </c>
      <c r="L1" s="2" t="s">
        <v>426</v>
      </c>
      <c r="M1" s="2" t="s">
        <v>427</v>
      </c>
      <c r="N1" s="5" t="s">
        <v>428</v>
      </c>
      <c r="O1" s="2" t="s">
        <v>434</v>
      </c>
      <c r="P1" s="2" t="s">
        <v>429</v>
      </c>
      <c r="Q1" s="2" t="s">
        <v>430</v>
      </c>
      <c r="R1" s="2" t="s">
        <v>431</v>
      </c>
      <c r="S1" s="2" t="s">
        <v>432</v>
      </c>
      <c r="T1" s="2" t="s">
        <v>433</v>
      </c>
      <c r="U1" s="2" t="s">
        <v>435</v>
      </c>
      <c r="V1" s="2" t="s">
        <v>436</v>
      </c>
      <c r="W1" s="2" t="s">
        <v>476</v>
      </c>
      <c r="X1" s="2" t="s">
        <v>477</v>
      </c>
      <c r="Y1" s="2" t="s">
        <v>478</v>
      </c>
      <c r="Z1" s="2" t="s">
        <v>479</v>
      </c>
      <c r="AA1" s="2" t="s">
        <v>569</v>
      </c>
      <c r="AB1" s="8" t="s">
        <v>491</v>
      </c>
      <c r="AC1" s="8" t="s">
        <v>492</v>
      </c>
      <c r="AD1" s="8" t="s">
        <v>493</v>
      </c>
      <c r="AE1" s="8" t="s">
        <v>494</v>
      </c>
      <c r="AF1" s="8" t="s">
        <v>495</v>
      </c>
      <c r="AG1" s="8" t="s">
        <v>496</v>
      </c>
      <c r="AH1" s="8" t="s">
        <v>497</v>
      </c>
      <c r="AI1" s="8" t="s">
        <v>498</v>
      </c>
      <c r="AJ1" s="8" t="s">
        <v>499</v>
      </c>
      <c r="AK1" s="8" t="s">
        <v>500</v>
      </c>
      <c r="AL1" s="8" t="s">
        <v>454</v>
      </c>
      <c r="AM1" s="8" t="s">
        <v>455</v>
      </c>
      <c r="AN1" s="8" t="s">
        <v>456</v>
      </c>
      <c r="AO1" s="8" t="s">
        <v>464</v>
      </c>
      <c r="AP1" s="8" t="s">
        <v>457</v>
      </c>
      <c r="AQ1" s="8" t="s">
        <v>458</v>
      </c>
      <c r="AR1" s="8" t="s">
        <v>459</v>
      </c>
      <c r="AS1" s="8" t="s">
        <v>460</v>
      </c>
      <c r="AT1" s="8" t="s">
        <v>461</v>
      </c>
      <c r="AU1" s="8" t="s">
        <v>441</v>
      </c>
      <c r="AV1" s="146" t="s">
        <v>452</v>
      </c>
      <c r="AW1" s="146" t="s">
        <v>453</v>
      </c>
      <c r="AX1" s="147" t="s">
        <v>443</v>
      </c>
      <c r="AY1" s="146" t="s">
        <v>451</v>
      </c>
      <c r="AZ1" s="6" t="s">
        <v>449</v>
      </c>
      <c r="BA1" s="81" t="s">
        <v>442</v>
      </c>
      <c r="BB1" s="7" t="s">
        <v>501</v>
      </c>
      <c r="BC1" s="7" t="s">
        <v>502</v>
      </c>
      <c r="BD1" s="7" t="s">
        <v>503</v>
      </c>
      <c r="BE1" s="7" t="s">
        <v>504</v>
      </c>
      <c r="BF1" s="7" t="s">
        <v>505</v>
      </c>
      <c r="BG1" s="7" t="s">
        <v>506</v>
      </c>
      <c r="BH1" s="7" t="s">
        <v>507</v>
      </c>
      <c r="BI1" s="7" t="s">
        <v>508</v>
      </c>
      <c r="BJ1" s="7" t="s">
        <v>509</v>
      </c>
      <c r="BK1" s="7" t="s">
        <v>510</v>
      </c>
      <c r="BL1" s="7" t="s">
        <v>511</v>
      </c>
      <c r="BM1" s="7" t="s">
        <v>512</v>
      </c>
      <c r="BN1" s="7" t="s">
        <v>513</v>
      </c>
      <c r="BO1" s="7" t="s">
        <v>514</v>
      </c>
      <c r="BP1" s="7" t="s">
        <v>515</v>
      </c>
      <c r="BQ1" s="7" t="s">
        <v>516</v>
      </c>
      <c r="BR1" s="7" t="s">
        <v>517</v>
      </c>
      <c r="BS1" s="7" t="s">
        <v>518</v>
      </c>
      <c r="BT1" s="7" t="s">
        <v>519</v>
      </c>
      <c r="BU1" s="7" t="s">
        <v>520</v>
      </c>
      <c r="BV1" s="7" t="s">
        <v>521</v>
      </c>
      <c r="BW1" s="7" t="s">
        <v>522</v>
      </c>
      <c r="BX1" s="7" t="s">
        <v>523</v>
      </c>
      <c r="BY1" s="7" t="s">
        <v>524</v>
      </c>
      <c r="BZ1" s="7" t="s">
        <v>525</v>
      </c>
      <c r="CA1" s="7" t="s">
        <v>526</v>
      </c>
      <c r="CB1" s="7" t="s">
        <v>527</v>
      </c>
      <c r="CC1" s="7" t="s">
        <v>528</v>
      </c>
      <c r="CD1" s="7" t="s">
        <v>529</v>
      </c>
      <c r="CE1" s="7" t="s">
        <v>530</v>
      </c>
      <c r="CF1" s="148" t="s">
        <v>485</v>
      </c>
      <c r="CG1" s="148" t="s">
        <v>488</v>
      </c>
      <c r="CH1" s="148" t="s">
        <v>489</v>
      </c>
      <c r="CI1" s="162" t="s">
        <v>490</v>
      </c>
      <c r="CJ1" s="163"/>
      <c r="CK1" s="163"/>
      <c r="CL1" s="164"/>
    </row>
    <row r="2" spans="1:90" ht="29.4" hidden="1" thickTop="1">
      <c r="A2" s="3">
        <v>1</v>
      </c>
      <c r="B2" s="171" t="s">
        <v>78</v>
      </c>
      <c r="C2" s="165" t="s">
        <v>79</v>
      </c>
      <c r="D2" s="1" t="s">
        <v>170</v>
      </c>
      <c r="E2" s="1">
        <f t="shared" ref="E2:E65" ca="1" si="0">DATEDIF(B2,TODAY(),"Y")</f>
        <v>54</v>
      </c>
      <c r="F2" s="1">
        <f t="shared" ref="F2:F30" si="1">DATEDIF(B2,AV2,"Y")</f>
        <v>35</v>
      </c>
      <c r="G2" s="1" t="s">
        <v>8</v>
      </c>
      <c r="H2" s="1" t="s">
        <v>12</v>
      </c>
      <c r="I2" s="1" t="s">
        <v>12</v>
      </c>
      <c r="M2" s="1">
        <v>0</v>
      </c>
      <c r="N2" s="1">
        <v>0</v>
      </c>
      <c r="O2" s="1">
        <v>0</v>
      </c>
      <c r="P2" s="1">
        <v>70</v>
      </c>
      <c r="Q2" s="1">
        <v>70</v>
      </c>
      <c r="W2" s="1" t="s">
        <v>384</v>
      </c>
      <c r="X2" s="1">
        <v>0</v>
      </c>
      <c r="Z2" s="1">
        <v>0</v>
      </c>
      <c r="AA2" s="1">
        <v>0</v>
      </c>
      <c r="AB2" s="166" t="s">
        <v>128</v>
      </c>
      <c r="AF2" s="167"/>
      <c r="AG2" s="166"/>
      <c r="AK2" s="167"/>
      <c r="AL2" s="1" t="s">
        <v>437</v>
      </c>
      <c r="AV2" s="168">
        <v>38918</v>
      </c>
      <c r="AW2" s="1">
        <f ca="1">DATEDIF(AV2,TODAY(),"Y")</f>
        <v>19</v>
      </c>
      <c r="AX2" s="1" t="s">
        <v>445</v>
      </c>
      <c r="AY2" s="193">
        <v>7.45</v>
      </c>
      <c r="AZ2" s="193"/>
      <c r="BA2" s="184" t="s">
        <v>34</v>
      </c>
      <c r="BB2" s="1" t="s">
        <v>448</v>
      </c>
      <c r="BC2" s="1" t="s">
        <v>480</v>
      </c>
      <c r="BD2" s="1">
        <v>1</v>
      </c>
      <c r="BE2" s="1">
        <v>1</v>
      </c>
      <c r="BF2" s="1">
        <v>1</v>
      </c>
      <c r="BG2" s="1">
        <v>1</v>
      </c>
      <c r="BK2" s="167" t="s">
        <v>16</v>
      </c>
      <c r="BU2" s="167"/>
      <c r="CE2" s="167"/>
      <c r="CI2" s="15" t="s">
        <v>80</v>
      </c>
    </row>
    <row r="3" spans="1:90" ht="29.4" hidden="1" thickTop="1">
      <c r="A3" s="4">
        <v>2</v>
      </c>
      <c r="B3" s="171" t="s">
        <v>81</v>
      </c>
      <c r="C3" s="165" t="s">
        <v>79</v>
      </c>
      <c r="D3" s="1" t="s">
        <v>418</v>
      </c>
      <c r="E3" s="1">
        <f t="shared" ca="1" si="0"/>
        <v>65</v>
      </c>
      <c r="F3" s="1">
        <f t="shared" si="1"/>
        <v>48</v>
      </c>
      <c r="G3" s="1" t="s">
        <v>8</v>
      </c>
      <c r="H3" s="1" t="s">
        <v>12</v>
      </c>
      <c r="I3" s="1" t="s">
        <v>14</v>
      </c>
      <c r="K3" s="1">
        <v>117</v>
      </c>
      <c r="M3" s="1">
        <v>1</v>
      </c>
      <c r="N3" s="1">
        <v>1</v>
      </c>
      <c r="O3" s="1">
        <v>1</v>
      </c>
      <c r="P3" s="1">
        <v>30</v>
      </c>
      <c r="Q3" s="1">
        <v>30</v>
      </c>
      <c r="T3" s="1">
        <v>100</v>
      </c>
      <c r="V3" s="1">
        <v>25</v>
      </c>
      <c r="W3" s="1" t="s">
        <v>384</v>
      </c>
      <c r="X3" s="1">
        <v>0</v>
      </c>
      <c r="Y3" s="1">
        <v>633</v>
      </c>
      <c r="Z3" s="1">
        <v>0</v>
      </c>
      <c r="AA3" s="1">
        <v>0</v>
      </c>
      <c r="AB3" s="166"/>
      <c r="AC3" s="1" t="s">
        <v>83</v>
      </c>
      <c r="AF3" s="167"/>
      <c r="AG3" s="166"/>
      <c r="AK3" s="167"/>
      <c r="AL3" s="1" t="s">
        <v>438</v>
      </c>
      <c r="AM3" s="1" t="s">
        <v>84</v>
      </c>
      <c r="AN3" s="1" t="s">
        <v>437</v>
      </c>
      <c r="AO3" s="1" t="s">
        <v>437</v>
      </c>
      <c r="AP3" s="1" t="s">
        <v>437</v>
      </c>
      <c r="AQ3" s="1" t="s">
        <v>437</v>
      </c>
      <c r="AR3" s="1" t="s">
        <v>437</v>
      </c>
      <c r="AS3" s="1" t="s">
        <v>437</v>
      </c>
      <c r="AT3" s="1" t="s">
        <v>437</v>
      </c>
      <c r="AU3" s="1" t="s">
        <v>437</v>
      </c>
      <c r="AV3" s="168">
        <v>39658</v>
      </c>
      <c r="AW3" s="1">
        <f t="shared" ref="AW3:AW66" ca="1" si="2">DATEDIF(AV3,TODAY(),"Y")</f>
        <v>16</v>
      </c>
      <c r="AX3" s="1" t="s">
        <v>445</v>
      </c>
      <c r="AY3" s="1">
        <v>0</v>
      </c>
      <c r="BA3" s="184" t="s">
        <v>34</v>
      </c>
      <c r="BB3" s="1" t="s">
        <v>34</v>
      </c>
      <c r="BK3" s="167"/>
      <c r="BU3" s="167"/>
      <c r="CE3" s="167"/>
      <c r="CG3" s="1">
        <v>1</v>
      </c>
      <c r="CI3" s="15" t="s">
        <v>85</v>
      </c>
    </row>
    <row r="4" spans="1:90" ht="15" hidden="1" thickTop="1">
      <c r="A4" s="4">
        <v>3</v>
      </c>
      <c r="B4" s="171" t="s">
        <v>86</v>
      </c>
      <c r="C4" s="165" t="s">
        <v>79</v>
      </c>
      <c r="D4" s="1" t="s">
        <v>418</v>
      </c>
      <c r="E4" s="1">
        <f t="shared" ca="1" si="0"/>
        <v>63</v>
      </c>
      <c r="F4" s="1">
        <f t="shared" si="1"/>
        <v>33</v>
      </c>
      <c r="G4" s="1" t="s">
        <v>5</v>
      </c>
      <c r="H4" s="1" t="s">
        <v>13</v>
      </c>
      <c r="I4" s="1" t="s">
        <v>13</v>
      </c>
      <c r="J4" s="1">
        <v>180</v>
      </c>
      <c r="K4" s="1">
        <v>65</v>
      </c>
      <c r="M4" s="1">
        <v>0</v>
      </c>
      <c r="N4" s="1">
        <v>0</v>
      </c>
      <c r="O4" s="1">
        <v>0</v>
      </c>
      <c r="P4" s="1">
        <v>138</v>
      </c>
      <c r="Q4" s="1">
        <v>240</v>
      </c>
      <c r="S4" s="1">
        <v>7</v>
      </c>
      <c r="T4" s="1">
        <v>100</v>
      </c>
      <c r="U4" s="1">
        <v>182</v>
      </c>
      <c r="W4" s="1">
        <v>2778</v>
      </c>
      <c r="X4" s="1">
        <v>0</v>
      </c>
      <c r="Y4" s="1">
        <v>10</v>
      </c>
      <c r="Z4" s="1">
        <v>0</v>
      </c>
      <c r="AA4" s="1">
        <v>0</v>
      </c>
      <c r="AB4" s="166" t="s">
        <v>106</v>
      </c>
      <c r="AF4" s="167"/>
      <c r="AG4" s="166" t="s">
        <v>83</v>
      </c>
      <c r="AH4" s="1" t="s">
        <v>83</v>
      </c>
      <c r="AK4" s="167"/>
      <c r="AL4" s="1" t="s">
        <v>439</v>
      </c>
      <c r="AM4" s="1" t="s">
        <v>84</v>
      </c>
      <c r="AN4" s="1" t="s">
        <v>437</v>
      </c>
      <c r="AO4" s="1" t="s">
        <v>437</v>
      </c>
      <c r="AP4" s="1" t="s">
        <v>437</v>
      </c>
      <c r="AQ4" s="1" t="s">
        <v>437</v>
      </c>
      <c r="AR4" s="1" t="s">
        <v>440</v>
      </c>
      <c r="AS4" s="1" t="s">
        <v>437</v>
      </c>
      <c r="AT4" s="1" t="s">
        <v>440</v>
      </c>
      <c r="AU4" s="1" t="s">
        <v>437</v>
      </c>
      <c r="AV4" s="168">
        <v>35065</v>
      </c>
      <c r="AW4" s="1">
        <f t="shared" ca="1" si="2"/>
        <v>29</v>
      </c>
      <c r="AX4" s="1" t="s">
        <v>63</v>
      </c>
      <c r="AY4" s="1">
        <v>7.49</v>
      </c>
      <c r="BA4" s="184" t="s">
        <v>356</v>
      </c>
      <c r="BB4" s="1" t="s">
        <v>448</v>
      </c>
      <c r="BD4" s="1">
        <v>1</v>
      </c>
      <c r="BE4" s="1">
        <v>1</v>
      </c>
      <c r="BI4" s="1">
        <v>1</v>
      </c>
      <c r="BJ4" s="1">
        <v>1</v>
      </c>
      <c r="BK4" s="167"/>
      <c r="BL4" s="1" t="s">
        <v>446</v>
      </c>
      <c r="BU4" s="167"/>
      <c r="CE4" s="167"/>
    </row>
    <row r="5" spans="1:90" ht="15" hidden="1" thickTop="1">
      <c r="A5" s="4">
        <v>4</v>
      </c>
      <c r="B5" s="171" t="s">
        <v>87</v>
      </c>
      <c r="C5" s="165" t="s">
        <v>79</v>
      </c>
      <c r="D5" s="1" t="s">
        <v>418</v>
      </c>
      <c r="E5" s="1">
        <f t="shared" ca="1" si="0"/>
        <v>60</v>
      </c>
      <c r="F5" s="1">
        <f t="shared" si="1"/>
        <v>38</v>
      </c>
      <c r="G5" s="1" t="s">
        <v>5</v>
      </c>
      <c r="H5" s="1" t="s">
        <v>14</v>
      </c>
      <c r="I5" s="1" t="s">
        <v>13</v>
      </c>
      <c r="J5" s="1">
        <v>176</v>
      </c>
      <c r="K5" s="1">
        <v>80</v>
      </c>
      <c r="M5" s="1">
        <v>0</v>
      </c>
      <c r="N5" s="1">
        <v>0</v>
      </c>
      <c r="O5" s="1">
        <v>0</v>
      </c>
      <c r="P5" s="1">
        <v>34</v>
      </c>
      <c r="Q5" s="1">
        <v>17</v>
      </c>
      <c r="R5" s="1">
        <v>123</v>
      </c>
      <c r="T5" s="1">
        <v>81</v>
      </c>
      <c r="U5" s="1">
        <v>77</v>
      </c>
      <c r="W5" s="1">
        <v>2366</v>
      </c>
      <c r="Y5" s="1">
        <v>2000000000</v>
      </c>
      <c r="Z5" s="1">
        <v>1</v>
      </c>
      <c r="AA5" s="1">
        <v>1</v>
      </c>
      <c r="AB5" s="166" t="s">
        <v>83</v>
      </c>
      <c r="AF5" s="167"/>
      <c r="AG5" s="166" t="s">
        <v>83</v>
      </c>
      <c r="AH5" s="1" t="s">
        <v>83</v>
      </c>
      <c r="AK5" s="167"/>
      <c r="AL5" s="1" t="s">
        <v>438</v>
      </c>
      <c r="AM5" s="1" t="s">
        <v>88</v>
      </c>
      <c r="AN5" s="1" t="s">
        <v>439</v>
      </c>
      <c r="AO5" s="1" t="s">
        <v>437</v>
      </c>
      <c r="AP5" s="1" t="s">
        <v>437</v>
      </c>
      <c r="AQ5" s="1" t="s">
        <v>437</v>
      </c>
      <c r="AR5" s="1" t="s">
        <v>437</v>
      </c>
      <c r="AS5" s="1" t="s">
        <v>437</v>
      </c>
      <c r="AT5" s="1" t="s">
        <v>437</v>
      </c>
      <c r="AU5" s="1" t="s">
        <v>437</v>
      </c>
      <c r="AV5" s="168">
        <v>37987</v>
      </c>
      <c r="AW5" s="1">
        <f t="shared" ca="1" si="2"/>
        <v>21</v>
      </c>
      <c r="AX5" s="1" t="s">
        <v>63</v>
      </c>
      <c r="AY5" s="1">
        <v>0</v>
      </c>
      <c r="AZ5" s="1">
        <v>1</v>
      </c>
      <c r="BA5" s="184" t="s">
        <v>356</v>
      </c>
      <c r="BK5" s="167"/>
      <c r="BU5" s="167"/>
      <c r="CE5" s="167"/>
      <c r="CF5" s="169"/>
      <c r="CI5" s="15" t="s">
        <v>89</v>
      </c>
    </row>
    <row r="6" spans="1:90" ht="15" hidden="1" thickTop="1">
      <c r="A6" s="4">
        <v>5</v>
      </c>
      <c r="B6" s="171" t="s">
        <v>90</v>
      </c>
      <c r="C6" s="165" t="s">
        <v>79</v>
      </c>
      <c r="D6" s="1" t="s">
        <v>170</v>
      </c>
      <c r="E6" s="1">
        <f t="shared" ca="1" si="0"/>
        <v>76</v>
      </c>
      <c r="F6" s="1">
        <f t="shared" si="1"/>
        <v>64</v>
      </c>
      <c r="G6" s="1" t="s">
        <v>5</v>
      </c>
      <c r="H6" s="1" t="s">
        <v>12</v>
      </c>
      <c r="I6" s="1" t="s">
        <v>12</v>
      </c>
      <c r="J6" s="1">
        <v>164</v>
      </c>
      <c r="K6" s="1">
        <v>98</v>
      </c>
      <c r="M6" s="1">
        <v>0</v>
      </c>
      <c r="N6" s="1">
        <v>1</v>
      </c>
      <c r="O6" s="1">
        <v>0</v>
      </c>
      <c r="P6" s="1">
        <v>24</v>
      </c>
      <c r="Q6" s="1">
        <v>21</v>
      </c>
      <c r="R6" s="1">
        <v>25</v>
      </c>
      <c r="S6" s="1">
        <v>8</v>
      </c>
      <c r="T6" s="1">
        <v>100</v>
      </c>
      <c r="U6" s="1">
        <v>336</v>
      </c>
      <c r="V6" s="1">
        <v>42</v>
      </c>
      <c r="W6" s="1" t="s">
        <v>82</v>
      </c>
      <c r="Y6" s="1">
        <v>2000</v>
      </c>
      <c r="Z6" s="1">
        <v>0</v>
      </c>
      <c r="AA6" s="1">
        <v>0</v>
      </c>
      <c r="AB6" s="166"/>
      <c r="AC6" s="1" t="s">
        <v>91</v>
      </c>
      <c r="AF6" s="167"/>
      <c r="AG6" s="166"/>
      <c r="AK6" s="167"/>
      <c r="AL6" s="1" t="s">
        <v>437</v>
      </c>
      <c r="AV6" s="168">
        <v>41275</v>
      </c>
      <c r="AW6" s="1">
        <f t="shared" ca="1" si="2"/>
        <v>12</v>
      </c>
      <c r="AX6" s="1" t="s">
        <v>30</v>
      </c>
      <c r="AY6" s="1">
        <v>0</v>
      </c>
      <c r="AZ6" s="1">
        <v>1</v>
      </c>
      <c r="BA6" s="184" t="s">
        <v>34</v>
      </c>
      <c r="BB6" s="1" t="s">
        <v>34</v>
      </c>
      <c r="BK6" s="167"/>
      <c r="BU6" s="167"/>
      <c r="CE6" s="167"/>
      <c r="CI6" s="15" t="s">
        <v>92</v>
      </c>
    </row>
    <row r="7" spans="1:90" ht="15" hidden="1" thickTop="1">
      <c r="A7" s="4">
        <v>6</v>
      </c>
      <c r="B7" s="171" t="s">
        <v>93</v>
      </c>
      <c r="C7" s="165" t="s">
        <v>79</v>
      </c>
      <c r="D7" s="1" t="s">
        <v>418</v>
      </c>
      <c r="E7" s="1">
        <f t="shared" ca="1" si="0"/>
        <v>43</v>
      </c>
      <c r="F7" s="1">
        <f t="shared" si="1"/>
        <v>22</v>
      </c>
      <c r="G7" s="1" t="s">
        <v>8</v>
      </c>
      <c r="H7" s="1" t="s">
        <v>12</v>
      </c>
      <c r="I7" s="1" t="s">
        <v>12</v>
      </c>
      <c r="K7" s="1">
        <v>84</v>
      </c>
      <c r="M7" s="1">
        <v>0</v>
      </c>
      <c r="N7" s="1">
        <v>0</v>
      </c>
      <c r="O7" s="1">
        <v>0</v>
      </c>
      <c r="P7" s="1">
        <v>30</v>
      </c>
      <c r="Q7" s="1">
        <v>30</v>
      </c>
      <c r="T7" s="1">
        <v>50</v>
      </c>
      <c r="U7" s="1">
        <v>48</v>
      </c>
      <c r="W7" s="1" t="s">
        <v>82</v>
      </c>
      <c r="Y7" s="1">
        <v>2000</v>
      </c>
      <c r="Z7" s="1">
        <v>0</v>
      </c>
      <c r="AA7" s="1">
        <v>0</v>
      </c>
      <c r="AB7" s="166"/>
      <c r="AE7" s="1" t="s">
        <v>83</v>
      </c>
      <c r="AF7" s="167"/>
      <c r="AG7" s="166"/>
      <c r="AK7" s="167"/>
      <c r="AL7" s="1" t="s">
        <v>438</v>
      </c>
      <c r="AM7" s="1" t="s">
        <v>84</v>
      </c>
      <c r="AN7" s="1" t="s">
        <v>437</v>
      </c>
      <c r="AO7" s="1" t="s">
        <v>437</v>
      </c>
      <c r="AP7" s="1" t="s">
        <v>437</v>
      </c>
      <c r="AQ7" s="1" t="s">
        <v>437</v>
      </c>
      <c r="AR7" s="1" t="s">
        <v>437</v>
      </c>
      <c r="AS7" s="1" t="s">
        <v>437</v>
      </c>
      <c r="AT7" s="1" t="s">
        <v>437</v>
      </c>
      <c r="AU7" s="1" t="s">
        <v>437</v>
      </c>
      <c r="AV7" s="168">
        <v>37987</v>
      </c>
      <c r="AW7" s="1">
        <f t="shared" ca="1" si="2"/>
        <v>21</v>
      </c>
      <c r="AX7" s="1" t="s">
        <v>445</v>
      </c>
      <c r="AY7" s="1">
        <v>7.77</v>
      </c>
      <c r="BA7" s="184" t="s">
        <v>10</v>
      </c>
      <c r="BB7" s="1" t="s">
        <v>448</v>
      </c>
      <c r="BD7" s="1">
        <v>1</v>
      </c>
      <c r="BE7" s="1">
        <v>1</v>
      </c>
      <c r="BF7" s="1">
        <v>1</v>
      </c>
      <c r="BH7" s="1">
        <v>1</v>
      </c>
      <c r="BK7" s="167"/>
      <c r="BU7" s="167"/>
      <c r="CE7" s="167"/>
      <c r="CG7" s="1">
        <v>1</v>
      </c>
      <c r="CI7" s="15" t="s">
        <v>94</v>
      </c>
    </row>
    <row r="8" spans="1:90" ht="15" hidden="1" thickTop="1">
      <c r="A8" s="4">
        <v>7</v>
      </c>
      <c r="B8" s="171">
        <v>24134</v>
      </c>
      <c r="C8" s="165" t="s">
        <v>79</v>
      </c>
      <c r="D8" s="1" t="s">
        <v>418</v>
      </c>
      <c r="E8" s="1">
        <f t="shared" ca="1" si="0"/>
        <v>59</v>
      </c>
      <c r="F8" s="1">
        <f t="shared" si="1"/>
        <v>47</v>
      </c>
      <c r="G8" s="1" t="s">
        <v>419</v>
      </c>
      <c r="H8" s="1" t="s">
        <v>12</v>
      </c>
      <c r="I8" s="1" t="s">
        <v>12</v>
      </c>
      <c r="W8" s="1" t="s">
        <v>82</v>
      </c>
      <c r="AB8" s="166"/>
      <c r="AF8" s="167"/>
      <c r="AG8" s="166"/>
      <c r="AK8" s="167"/>
      <c r="AV8" s="168">
        <v>41410</v>
      </c>
      <c r="AW8" s="1">
        <f t="shared" ca="1" si="2"/>
        <v>12</v>
      </c>
      <c r="AX8" s="1" t="s">
        <v>445</v>
      </c>
      <c r="AY8" s="1">
        <v>0</v>
      </c>
      <c r="AZ8" s="1">
        <v>1</v>
      </c>
      <c r="BA8" s="184" t="s">
        <v>34</v>
      </c>
      <c r="BB8" s="1" t="s">
        <v>34</v>
      </c>
      <c r="BK8" s="167"/>
      <c r="BU8" s="167"/>
      <c r="CE8" s="167"/>
      <c r="CF8" s="1" t="s">
        <v>486</v>
      </c>
      <c r="CI8" s="15" t="s">
        <v>95</v>
      </c>
    </row>
    <row r="9" spans="1:90" ht="15" hidden="1" thickTop="1">
      <c r="A9" s="4">
        <v>8</v>
      </c>
      <c r="B9" s="171" t="s">
        <v>96</v>
      </c>
      <c r="C9" s="165" t="s">
        <v>79</v>
      </c>
      <c r="D9" s="1" t="s">
        <v>170</v>
      </c>
      <c r="E9" s="1">
        <f t="shared" ca="1" si="0"/>
        <v>45</v>
      </c>
      <c r="F9" s="1">
        <f t="shared" si="1"/>
        <v>32</v>
      </c>
      <c r="G9" s="1" t="s">
        <v>8</v>
      </c>
      <c r="H9" s="1" t="s">
        <v>12</v>
      </c>
      <c r="I9" s="1" t="s">
        <v>12</v>
      </c>
      <c r="W9" s="1" t="s">
        <v>82</v>
      </c>
      <c r="X9" s="1">
        <v>0</v>
      </c>
      <c r="AB9" s="166"/>
      <c r="AF9" s="167"/>
      <c r="AG9" s="166"/>
      <c r="AK9" s="167"/>
      <c r="AV9" s="168">
        <v>41275</v>
      </c>
      <c r="AW9" s="1">
        <f t="shared" ca="1" si="2"/>
        <v>12</v>
      </c>
      <c r="AX9" s="1" t="s">
        <v>445</v>
      </c>
      <c r="AY9" s="1">
        <v>7.98</v>
      </c>
      <c r="BA9" s="184" t="s">
        <v>34</v>
      </c>
      <c r="BB9" s="1" t="s">
        <v>34</v>
      </c>
      <c r="BK9" s="167"/>
      <c r="BU9" s="167"/>
      <c r="CE9" s="167"/>
    </row>
    <row r="10" spans="1:90" ht="15" hidden="1" thickTop="1">
      <c r="A10" s="4">
        <v>9</v>
      </c>
      <c r="B10" s="171" t="s">
        <v>97</v>
      </c>
      <c r="C10" s="165" t="s">
        <v>79</v>
      </c>
      <c r="D10" s="1" t="s">
        <v>170</v>
      </c>
      <c r="E10" s="1">
        <f t="shared" ca="1" si="0"/>
        <v>70</v>
      </c>
      <c r="F10" s="1">
        <f t="shared" si="1"/>
        <v>52</v>
      </c>
      <c r="G10" s="1" t="s">
        <v>9</v>
      </c>
      <c r="H10" s="1" t="s">
        <v>12</v>
      </c>
      <c r="I10" s="1" t="s">
        <v>12</v>
      </c>
      <c r="J10" s="1">
        <v>62</v>
      </c>
      <c r="K10" s="1">
        <v>156</v>
      </c>
      <c r="M10" s="1">
        <v>0</v>
      </c>
      <c r="N10" s="1">
        <v>1</v>
      </c>
      <c r="O10" s="1">
        <v>0</v>
      </c>
      <c r="P10" s="1">
        <v>32</v>
      </c>
      <c r="Q10" s="1">
        <v>31</v>
      </c>
      <c r="R10" s="1">
        <v>60</v>
      </c>
      <c r="S10" s="1">
        <v>35</v>
      </c>
      <c r="T10" s="1">
        <v>68</v>
      </c>
      <c r="U10" s="1">
        <v>131</v>
      </c>
      <c r="V10" s="1">
        <v>36</v>
      </c>
      <c r="W10" s="1" t="s">
        <v>82</v>
      </c>
      <c r="X10" s="1">
        <v>0</v>
      </c>
      <c r="Y10" s="1">
        <v>3438</v>
      </c>
      <c r="Z10" s="1">
        <v>0</v>
      </c>
      <c r="AA10" s="1">
        <v>0</v>
      </c>
      <c r="AB10" s="166"/>
      <c r="AD10" s="1" t="s">
        <v>83</v>
      </c>
      <c r="AF10" s="167"/>
      <c r="AG10" s="166"/>
      <c r="AH10" s="1" t="s">
        <v>83</v>
      </c>
      <c r="AK10" s="167"/>
      <c r="AL10" s="1" t="s">
        <v>438</v>
      </c>
      <c r="AM10" s="1" t="s">
        <v>84</v>
      </c>
      <c r="AN10" s="1" t="s">
        <v>439</v>
      </c>
      <c r="AO10" s="1" t="s">
        <v>437</v>
      </c>
      <c r="AP10" s="1" t="s">
        <v>437</v>
      </c>
      <c r="AQ10" s="1" t="s">
        <v>437</v>
      </c>
      <c r="AR10" s="1" t="s">
        <v>437</v>
      </c>
      <c r="AS10" s="1" t="s">
        <v>437</v>
      </c>
      <c r="AT10" s="1" t="s">
        <v>437</v>
      </c>
      <c r="AU10" s="1" t="s">
        <v>437</v>
      </c>
      <c r="AV10" s="168">
        <v>39083</v>
      </c>
      <c r="AW10" s="1">
        <f t="shared" ca="1" si="2"/>
        <v>18</v>
      </c>
      <c r="AX10" s="1" t="s">
        <v>63</v>
      </c>
      <c r="AY10" s="1">
        <v>0</v>
      </c>
      <c r="BA10" s="184" t="s">
        <v>356</v>
      </c>
      <c r="BB10" s="1" t="s">
        <v>34</v>
      </c>
      <c r="BK10" s="167"/>
      <c r="BU10" s="167"/>
      <c r="CE10" s="167"/>
      <c r="CI10" s="15" t="s">
        <v>98</v>
      </c>
    </row>
    <row r="11" spans="1:90" ht="15" hidden="1" thickTop="1">
      <c r="A11" s="4">
        <v>10</v>
      </c>
      <c r="B11" s="171" t="s">
        <v>99</v>
      </c>
      <c r="C11" s="165" t="s">
        <v>79</v>
      </c>
      <c r="D11" s="1" t="s">
        <v>418</v>
      </c>
      <c r="E11" s="1">
        <f t="shared" ca="1" si="0"/>
        <v>31</v>
      </c>
      <c r="F11" s="1">
        <f t="shared" si="1"/>
        <v>19</v>
      </c>
      <c r="G11" s="1" t="s">
        <v>5</v>
      </c>
      <c r="H11" s="1" t="s">
        <v>12</v>
      </c>
      <c r="I11" s="1" t="s">
        <v>12</v>
      </c>
      <c r="W11" s="1" t="s">
        <v>82</v>
      </c>
      <c r="AB11" s="166"/>
      <c r="AF11" s="167"/>
      <c r="AG11" s="166"/>
      <c r="AK11" s="167"/>
      <c r="AV11" s="168">
        <v>41275</v>
      </c>
      <c r="AW11" s="1">
        <f t="shared" ca="1" si="2"/>
        <v>12</v>
      </c>
      <c r="AX11" s="1" t="s">
        <v>63</v>
      </c>
      <c r="AY11" s="1">
        <v>0</v>
      </c>
      <c r="AZ11" s="1">
        <v>1</v>
      </c>
      <c r="BA11" s="184" t="s">
        <v>34</v>
      </c>
      <c r="BB11" s="1" t="s">
        <v>34</v>
      </c>
      <c r="BK11" s="167"/>
      <c r="BU11" s="167"/>
      <c r="CE11" s="167"/>
      <c r="CF11" s="1" t="s">
        <v>486</v>
      </c>
      <c r="CI11" s="15" t="s">
        <v>95</v>
      </c>
    </row>
    <row r="12" spans="1:90" ht="15" hidden="1" thickTop="1">
      <c r="A12" s="4">
        <v>11</v>
      </c>
      <c r="B12" s="171" t="s">
        <v>100</v>
      </c>
      <c r="C12" s="165" t="s">
        <v>79</v>
      </c>
      <c r="D12" s="1" t="s">
        <v>418</v>
      </c>
      <c r="E12" s="1">
        <f t="shared" ca="1" si="0"/>
        <v>73</v>
      </c>
      <c r="F12" s="1">
        <f t="shared" si="1"/>
        <v>62</v>
      </c>
      <c r="G12" s="1" t="s">
        <v>5</v>
      </c>
      <c r="H12" s="1" t="s">
        <v>12</v>
      </c>
      <c r="I12" s="1" t="s">
        <v>12</v>
      </c>
      <c r="W12" s="1" t="s">
        <v>82</v>
      </c>
      <c r="AB12" s="166"/>
      <c r="AF12" s="167"/>
      <c r="AL12" s="166"/>
      <c r="AV12" s="168">
        <v>41640</v>
      </c>
      <c r="AW12" s="1">
        <f t="shared" ca="1" si="2"/>
        <v>11</v>
      </c>
      <c r="AX12" s="1" t="s">
        <v>63</v>
      </c>
      <c r="AY12" s="1">
        <v>0</v>
      </c>
      <c r="AZ12" s="1">
        <v>1</v>
      </c>
      <c r="BA12" s="184" t="s">
        <v>34</v>
      </c>
      <c r="BB12" s="1" t="s">
        <v>34</v>
      </c>
      <c r="BK12" s="167"/>
      <c r="CE12" s="167"/>
      <c r="CI12" s="15" t="s">
        <v>101</v>
      </c>
    </row>
    <row r="13" spans="1:90" ht="15" hidden="1" thickTop="1">
      <c r="A13" s="4">
        <v>12</v>
      </c>
      <c r="B13" s="171" t="s">
        <v>102</v>
      </c>
      <c r="C13" s="165" t="s">
        <v>79</v>
      </c>
      <c r="D13" s="1" t="s">
        <v>170</v>
      </c>
      <c r="E13" s="1">
        <f t="shared" ca="1" si="0"/>
        <v>41</v>
      </c>
      <c r="F13" s="1">
        <f t="shared" si="1"/>
        <v>22</v>
      </c>
      <c r="G13" s="1" t="s">
        <v>8</v>
      </c>
      <c r="H13" s="1" t="s">
        <v>12</v>
      </c>
      <c r="I13" s="1" t="s">
        <v>12</v>
      </c>
      <c r="M13" s="1">
        <v>0</v>
      </c>
      <c r="N13" s="1">
        <v>0</v>
      </c>
      <c r="O13" s="1">
        <v>0</v>
      </c>
      <c r="P13" s="1">
        <v>37</v>
      </c>
      <c r="Q13" s="1">
        <v>47</v>
      </c>
      <c r="R13" s="1">
        <v>21</v>
      </c>
      <c r="S13" s="1">
        <v>13</v>
      </c>
      <c r="T13" s="1">
        <v>75</v>
      </c>
      <c r="U13" s="1">
        <v>240</v>
      </c>
      <c r="W13" s="1">
        <v>182</v>
      </c>
      <c r="Y13" s="1">
        <v>31</v>
      </c>
      <c r="Z13" s="1">
        <v>0</v>
      </c>
      <c r="AA13" s="1">
        <v>0</v>
      </c>
      <c r="AB13" s="166" t="s">
        <v>110</v>
      </c>
      <c r="AC13" s="1" t="s">
        <v>91</v>
      </c>
      <c r="AG13" s="166"/>
      <c r="AL13" s="166" t="s">
        <v>437</v>
      </c>
      <c r="AV13" s="168">
        <v>39083</v>
      </c>
      <c r="AW13" s="1">
        <f t="shared" ca="1" si="2"/>
        <v>18</v>
      </c>
      <c r="AX13" s="1" t="s">
        <v>445</v>
      </c>
      <c r="AY13" s="1">
        <v>5.5</v>
      </c>
      <c r="BA13" s="184" t="s">
        <v>34</v>
      </c>
      <c r="BB13" s="1" t="s">
        <v>34</v>
      </c>
      <c r="CH13" s="1">
        <v>1</v>
      </c>
      <c r="CI13" s="32" t="s">
        <v>103</v>
      </c>
    </row>
    <row r="14" spans="1:90" ht="15" hidden="1" thickTop="1">
      <c r="A14" s="4">
        <v>13</v>
      </c>
      <c r="B14" s="171" t="s">
        <v>104</v>
      </c>
      <c r="C14" s="165" t="s">
        <v>79</v>
      </c>
      <c r="D14" s="1" t="s">
        <v>170</v>
      </c>
      <c r="E14" s="1">
        <f t="shared" ca="1" si="0"/>
        <v>75</v>
      </c>
      <c r="F14" s="1">
        <f t="shared" si="1"/>
        <v>65</v>
      </c>
      <c r="G14" s="1" t="s">
        <v>11</v>
      </c>
      <c r="H14" s="1" t="s">
        <v>12</v>
      </c>
      <c r="I14" s="1" t="s">
        <v>12</v>
      </c>
      <c r="J14" s="1">
        <v>157</v>
      </c>
      <c r="K14" s="1">
        <v>115</v>
      </c>
      <c r="M14" s="1">
        <v>0</v>
      </c>
      <c r="N14" s="1">
        <v>1</v>
      </c>
      <c r="O14" s="1">
        <v>1</v>
      </c>
      <c r="P14" s="1">
        <v>20</v>
      </c>
      <c r="Q14" s="1">
        <v>19</v>
      </c>
      <c r="R14" s="1">
        <v>52</v>
      </c>
      <c r="S14" s="1">
        <v>5</v>
      </c>
      <c r="T14" s="1">
        <v>100</v>
      </c>
      <c r="U14" s="1">
        <v>303</v>
      </c>
      <c r="V14" s="1">
        <v>39</v>
      </c>
      <c r="W14" s="1" t="s">
        <v>82</v>
      </c>
      <c r="X14" s="1">
        <v>0</v>
      </c>
      <c r="Y14" s="1">
        <v>1483</v>
      </c>
      <c r="Z14" s="1">
        <v>0</v>
      </c>
      <c r="AA14" s="1">
        <v>0</v>
      </c>
      <c r="AB14" s="166"/>
      <c r="AC14" s="1" t="s">
        <v>91</v>
      </c>
      <c r="AF14" s="167"/>
      <c r="AG14" s="166"/>
      <c r="AK14" s="167"/>
      <c r="AL14" s="1" t="s">
        <v>437</v>
      </c>
      <c r="AV14" s="168">
        <v>42005</v>
      </c>
      <c r="AW14" s="1">
        <f t="shared" ca="1" si="2"/>
        <v>10</v>
      </c>
      <c r="AX14" s="1" t="s">
        <v>63</v>
      </c>
      <c r="AY14" s="1">
        <v>0</v>
      </c>
      <c r="AZ14" s="1">
        <v>1</v>
      </c>
      <c r="BA14" s="184" t="s">
        <v>356</v>
      </c>
      <c r="BB14" s="1" t="s">
        <v>34</v>
      </c>
      <c r="BU14" s="167"/>
      <c r="CE14" s="167"/>
    </row>
    <row r="15" spans="1:90" ht="15" hidden="1" thickTop="1">
      <c r="A15" s="4">
        <v>14</v>
      </c>
      <c r="B15" s="171" t="s">
        <v>105</v>
      </c>
      <c r="C15" s="165" t="s">
        <v>79</v>
      </c>
      <c r="D15" s="1" t="s">
        <v>170</v>
      </c>
      <c r="E15" s="1">
        <f t="shared" ca="1" si="0"/>
        <v>53</v>
      </c>
      <c r="F15" s="1">
        <f t="shared" si="1"/>
        <v>26</v>
      </c>
      <c r="G15" s="1" t="s">
        <v>419</v>
      </c>
      <c r="H15" s="1" t="s">
        <v>13</v>
      </c>
      <c r="I15" s="1" t="s">
        <v>14</v>
      </c>
      <c r="J15" s="1">
        <v>105</v>
      </c>
      <c r="M15" s="1">
        <v>0</v>
      </c>
      <c r="N15" s="1">
        <v>0</v>
      </c>
      <c r="O15" s="1">
        <v>1</v>
      </c>
      <c r="P15" s="1">
        <v>82</v>
      </c>
      <c r="Q15" s="1">
        <v>143</v>
      </c>
      <c r="R15" s="1">
        <v>102</v>
      </c>
      <c r="S15" s="1">
        <v>6</v>
      </c>
      <c r="T15" s="1">
        <v>82</v>
      </c>
      <c r="U15" s="1">
        <v>381</v>
      </c>
      <c r="W15" s="1" t="s">
        <v>82</v>
      </c>
      <c r="Z15" s="1">
        <v>0</v>
      </c>
      <c r="AA15" s="1">
        <v>0</v>
      </c>
      <c r="AB15" s="166"/>
      <c r="AC15" s="1" t="s">
        <v>106</v>
      </c>
      <c r="AF15" s="167"/>
      <c r="AG15" s="166"/>
      <c r="AK15" s="167"/>
      <c r="AL15" s="1" t="s">
        <v>437</v>
      </c>
      <c r="AV15" s="168">
        <v>35796</v>
      </c>
      <c r="AW15" s="1">
        <f t="shared" ca="1" si="2"/>
        <v>27</v>
      </c>
      <c r="AX15" s="1" t="s">
        <v>444</v>
      </c>
      <c r="AY15" s="1">
        <v>6.16</v>
      </c>
      <c r="BA15" s="184" t="s">
        <v>356</v>
      </c>
      <c r="BB15" s="1" t="s">
        <v>448</v>
      </c>
      <c r="BK15" s="167"/>
      <c r="BU15" s="167"/>
      <c r="CE15" s="167"/>
      <c r="CG15" s="1">
        <v>1</v>
      </c>
      <c r="CI15" s="15" t="s">
        <v>107</v>
      </c>
    </row>
    <row r="16" spans="1:90" ht="15" hidden="1" thickTop="1">
      <c r="A16" s="4">
        <v>15</v>
      </c>
      <c r="B16" s="171" t="s">
        <v>108</v>
      </c>
      <c r="C16" s="165" t="s">
        <v>79</v>
      </c>
      <c r="D16" s="1" t="s">
        <v>418</v>
      </c>
      <c r="E16" s="1">
        <f t="shared" ca="1" si="0"/>
        <v>23</v>
      </c>
      <c r="F16" s="1">
        <f t="shared" si="1"/>
        <v>15</v>
      </c>
      <c r="G16" s="1" t="s">
        <v>8</v>
      </c>
      <c r="H16" s="1" t="s">
        <v>12</v>
      </c>
      <c r="I16" s="1" t="s">
        <v>12</v>
      </c>
      <c r="J16" s="1">
        <v>177</v>
      </c>
      <c r="K16" s="1">
        <v>58</v>
      </c>
      <c r="M16" s="1">
        <v>0</v>
      </c>
      <c r="N16" s="1">
        <v>0</v>
      </c>
      <c r="O16" s="1">
        <v>0</v>
      </c>
      <c r="P16" s="1">
        <v>31</v>
      </c>
      <c r="Q16" s="1">
        <v>23</v>
      </c>
      <c r="R16" s="1">
        <v>124</v>
      </c>
      <c r="S16" s="1">
        <v>9</v>
      </c>
      <c r="T16" s="1">
        <v>75</v>
      </c>
      <c r="U16" s="1">
        <v>302</v>
      </c>
      <c r="V16" s="1">
        <v>26</v>
      </c>
      <c r="W16" s="1" t="s">
        <v>82</v>
      </c>
      <c r="Z16" s="1">
        <v>0</v>
      </c>
      <c r="AA16" s="1">
        <v>0</v>
      </c>
      <c r="AB16" s="166"/>
      <c r="AC16" s="1" t="s">
        <v>91</v>
      </c>
      <c r="AF16" s="167"/>
      <c r="AG16" s="166"/>
      <c r="AK16" s="167"/>
      <c r="AL16" s="1" t="s">
        <v>437</v>
      </c>
      <c r="AV16" s="168">
        <v>43101</v>
      </c>
      <c r="AW16" s="1">
        <f t="shared" ca="1" si="2"/>
        <v>7</v>
      </c>
      <c r="AX16" s="1" t="s">
        <v>445</v>
      </c>
      <c r="AY16" s="1">
        <v>0</v>
      </c>
      <c r="AZ16" s="1">
        <v>1</v>
      </c>
      <c r="BA16" s="184" t="s">
        <v>34</v>
      </c>
      <c r="BB16" s="1" t="s">
        <v>34</v>
      </c>
      <c r="BK16" s="167"/>
      <c r="BU16" s="167"/>
      <c r="CE16" s="167"/>
    </row>
    <row r="17" spans="1:89" ht="15" hidden="1" thickTop="1">
      <c r="A17" s="4">
        <v>16</v>
      </c>
      <c r="B17" s="171" t="s">
        <v>109</v>
      </c>
      <c r="C17" s="165" t="s">
        <v>79</v>
      </c>
      <c r="D17" s="1" t="s">
        <v>418</v>
      </c>
      <c r="E17" s="1">
        <f t="shared" ca="1" si="0"/>
        <v>57</v>
      </c>
      <c r="F17" s="1">
        <f t="shared" si="1"/>
        <v>41</v>
      </c>
      <c r="G17" s="1" t="s">
        <v>6</v>
      </c>
      <c r="H17" s="1" t="s">
        <v>12</v>
      </c>
      <c r="I17" s="1" t="s">
        <v>14</v>
      </c>
      <c r="J17" s="1">
        <v>176</v>
      </c>
      <c r="K17" s="1">
        <v>85</v>
      </c>
      <c r="M17" s="1">
        <v>0</v>
      </c>
      <c r="N17" s="1">
        <v>0</v>
      </c>
      <c r="O17" s="1">
        <v>0</v>
      </c>
      <c r="P17" s="1">
        <v>17</v>
      </c>
      <c r="Q17" s="1">
        <v>12</v>
      </c>
      <c r="R17" s="1">
        <v>32</v>
      </c>
      <c r="S17" s="1">
        <v>9</v>
      </c>
      <c r="T17" s="1">
        <v>84</v>
      </c>
      <c r="U17" s="1">
        <v>276</v>
      </c>
      <c r="W17" s="1" t="s">
        <v>82</v>
      </c>
      <c r="Y17" s="1">
        <v>50</v>
      </c>
      <c r="AB17" s="166" t="s">
        <v>128</v>
      </c>
      <c r="AC17" s="1" t="s">
        <v>110</v>
      </c>
      <c r="AF17" s="167"/>
      <c r="AG17" s="166"/>
      <c r="AK17" s="167"/>
      <c r="AL17" s="1" t="s">
        <v>437</v>
      </c>
      <c r="AV17" s="168">
        <v>40179</v>
      </c>
      <c r="AW17" s="1">
        <f t="shared" ca="1" si="2"/>
        <v>15</v>
      </c>
      <c r="AX17" s="1" t="s">
        <v>63</v>
      </c>
      <c r="AY17" s="1">
        <v>6.67</v>
      </c>
      <c r="BA17" s="184" t="s">
        <v>356</v>
      </c>
      <c r="BB17" s="1" t="s">
        <v>448</v>
      </c>
      <c r="BC17" s="1" t="s">
        <v>481</v>
      </c>
      <c r="BD17" s="1">
        <v>1</v>
      </c>
      <c r="BE17" s="1">
        <v>1</v>
      </c>
      <c r="BH17" s="1">
        <v>1</v>
      </c>
      <c r="BJ17" s="1">
        <v>1</v>
      </c>
      <c r="BK17" s="167"/>
      <c r="BU17" s="167"/>
      <c r="CE17" s="167"/>
      <c r="CG17" s="1">
        <v>1</v>
      </c>
      <c r="CI17" s="15" t="s">
        <v>111</v>
      </c>
    </row>
    <row r="18" spans="1:89" ht="15" hidden="1" thickTop="1">
      <c r="A18" s="4">
        <v>17</v>
      </c>
      <c r="B18" s="171" t="s">
        <v>112</v>
      </c>
      <c r="C18" s="165" t="s">
        <v>79</v>
      </c>
      <c r="D18" s="1" t="s">
        <v>170</v>
      </c>
      <c r="E18" s="1">
        <f t="shared" ca="1" si="0"/>
        <v>65</v>
      </c>
      <c r="F18" s="1">
        <f t="shared" si="1"/>
        <v>62</v>
      </c>
      <c r="G18" s="1" t="s">
        <v>5</v>
      </c>
      <c r="AV18" s="168">
        <v>44648</v>
      </c>
      <c r="AW18" s="1">
        <f t="shared" ca="1" si="2"/>
        <v>3</v>
      </c>
      <c r="AX18" s="1" t="s">
        <v>63</v>
      </c>
      <c r="AY18" s="1">
        <v>4</v>
      </c>
      <c r="BA18" s="184"/>
      <c r="CG18" s="1">
        <v>1</v>
      </c>
      <c r="CI18" s="15" t="s">
        <v>406</v>
      </c>
    </row>
    <row r="19" spans="1:89" ht="15" hidden="1" thickTop="1">
      <c r="A19" s="4">
        <v>18</v>
      </c>
      <c r="B19" s="171" t="s">
        <v>113</v>
      </c>
      <c r="C19" s="165" t="s">
        <v>79</v>
      </c>
      <c r="D19" s="1" t="s">
        <v>170</v>
      </c>
      <c r="E19" s="1">
        <f t="shared" ca="1" si="0"/>
        <v>58</v>
      </c>
      <c r="F19" s="1">
        <f t="shared" si="1"/>
        <v>55</v>
      </c>
      <c r="G19" s="1" t="s">
        <v>5</v>
      </c>
      <c r="AV19" s="168">
        <v>45014</v>
      </c>
      <c r="AW19" s="1">
        <f t="shared" ca="1" si="2"/>
        <v>2</v>
      </c>
      <c r="AX19" s="1" t="s">
        <v>63</v>
      </c>
      <c r="AY19" s="1" t="s">
        <v>358</v>
      </c>
      <c r="BA19" s="184"/>
      <c r="CG19" s="1">
        <v>1</v>
      </c>
      <c r="CI19" s="15" t="s">
        <v>406</v>
      </c>
    </row>
    <row r="20" spans="1:89" ht="15" hidden="1" thickTop="1">
      <c r="A20" s="4">
        <v>19</v>
      </c>
      <c r="B20" s="171" t="s">
        <v>114</v>
      </c>
      <c r="C20" s="165" t="s">
        <v>79</v>
      </c>
      <c r="D20" s="1" t="s">
        <v>418</v>
      </c>
      <c r="E20" s="1">
        <f t="shared" ca="1" si="0"/>
        <v>43</v>
      </c>
      <c r="F20" s="1">
        <f t="shared" si="1"/>
        <v>41</v>
      </c>
      <c r="G20" s="1" t="s">
        <v>8</v>
      </c>
      <c r="AV20" s="168">
        <v>45155</v>
      </c>
      <c r="AW20" s="1">
        <f t="shared" ca="1" si="2"/>
        <v>1</v>
      </c>
      <c r="AX20" s="1" t="s">
        <v>445</v>
      </c>
      <c r="AY20" s="1">
        <v>3.32</v>
      </c>
      <c r="BA20" s="184"/>
      <c r="CG20" s="1">
        <v>1</v>
      </c>
      <c r="CI20" s="15" t="s">
        <v>407</v>
      </c>
    </row>
    <row r="21" spans="1:89" ht="15" hidden="1" thickTop="1">
      <c r="A21" s="4">
        <v>20</v>
      </c>
      <c r="B21" s="171" t="s">
        <v>115</v>
      </c>
      <c r="C21" s="165" t="s">
        <v>79</v>
      </c>
      <c r="D21" s="1" t="s">
        <v>170</v>
      </c>
      <c r="E21" s="1">
        <f t="shared" ca="1" si="0"/>
        <v>41</v>
      </c>
      <c r="F21" s="1">
        <f t="shared" si="1"/>
        <v>39</v>
      </c>
      <c r="G21" s="1" t="s">
        <v>8</v>
      </c>
      <c r="AV21" s="168">
        <v>45281</v>
      </c>
      <c r="AW21" s="1">
        <f t="shared" ca="1" si="2"/>
        <v>1</v>
      </c>
      <c r="AX21" s="1" t="s">
        <v>445</v>
      </c>
      <c r="AY21" s="1">
        <v>0</v>
      </c>
      <c r="AZ21" s="1">
        <v>1</v>
      </c>
      <c r="BA21" s="184"/>
      <c r="CG21" s="1">
        <v>1</v>
      </c>
      <c r="CI21" s="15" t="s">
        <v>407</v>
      </c>
    </row>
    <row r="22" spans="1:89" ht="15" hidden="1" thickTop="1">
      <c r="A22" s="4">
        <v>21</v>
      </c>
      <c r="B22" s="171" t="s">
        <v>116</v>
      </c>
      <c r="C22" s="165" t="s">
        <v>79</v>
      </c>
      <c r="D22" s="1" t="s">
        <v>418</v>
      </c>
      <c r="E22" s="1">
        <f t="shared" ca="1" si="0"/>
        <v>37</v>
      </c>
      <c r="F22" s="1">
        <f t="shared" si="1"/>
        <v>35</v>
      </c>
      <c r="G22" s="1" t="s">
        <v>8</v>
      </c>
      <c r="H22" s="1" t="s">
        <v>12</v>
      </c>
      <c r="I22" s="1" t="s">
        <v>12</v>
      </c>
      <c r="J22" s="1">
        <v>180</v>
      </c>
      <c r="K22" s="1">
        <v>89</v>
      </c>
      <c r="M22" s="1">
        <v>0</v>
      </c>
      <c r="N22" s="1">
        <v>0</v>
      </c>
      <c r="O22" s="1">
        <v>0</v>
      </c>
      <c r="P22" s="1">
        <v>15</v>
      </c>
      <c r="Q22" s="1">
        <v>20</v>
      </c>
      <c r="R22" s="1">
        <v>46</v>
      </c>
      <c r="S22" s="1">
        <v>13</v>
      </c>
      <c r="T22" s="1">
        <v>100</v>
      </c>
      <c r="U22" s="1">
        <v>184</v>
      </c>
      <c r="W22" s="1">
        <v>23281</v>
      </c>
      <c r="X22" s="1">
        <v>0.41</v>
      </c>
      <c r="Y22" s="1">
        <v>55</v>
      </c>
      <c r="Z22" s="1">
        <v>0</v>
      </c>
      <c r="AA22" s="1">
        <v>0</v>
      </c>
      <c r="AB22" s="166"/>
      <c r="AC22" s="1" t="s">
        <v>91</v>
      </c>
      <c r="AF22" s="167"/>
      <c r="AG22" s="166"/>
      <c r="AK22" s="167"/>
      <c r="AL22" s="1" t="s">
        <v>437</v>
      </c>
      <c r="AV22" s="168">
        <v>44927</v>
      </c>
      <c r="AW22" s="1">
        <f t="shared" ca="1" si="2"/>
        <v>2</v>
      </c>
      <c r="AX22" s="1" t="s">
        <v>445</v>
      </c>
      <c r="AY22" s="1">
        <v>4.1399999999999997</v>
      </c>
      <c r="BA22" s="184" t="s">
        <v>356</v>
      </c>
      <c r="BB22" s="1" t="s">
        <v>34</v>
      </c>
      <c r="BK22" s="167"/>
      <c r="BU22" s="167"/>
      <c r="CE22" s="167"/>
      <c r="CG22" s="1">
        <v>1</v>
      </c>
      <c r="CI22" s="15" t="s">
        <v>117</v>
      </c>
    </row>
    <row r="23" spans="1:89" ht="15" hidden="1" thickTop="1">
      <c r="A23" s="4">
        <v>22</v>
      </c>
      <c r="B23" s="171" t="s">
        <v>118</v>
      </c>
      <c r="C23" s="165" t="s">
        <v>79</v>
      </c>
      <c r="D23" s="1" t="s">
        <v>418</v>
      </c>
      <c r="E23" s="1">
        <f t="shared" ca="1" si="0"/>
        <v>50</v>
      </c>
      <c r="F23" s="1">
        <f t="shared" si="1"/>
        <v>38</v>
      </c>
      <c r="G23" s="1" t="s">
        <v>419</v>
      </c>
      <c r="H23" s="1" t="s">
        <v>12</v>
      </c>
      <c r="I23" s="1" t="s">
        <v>12</v>
      </c>
      <c r="W23" s="1" t="s">
        <v>82</v>
      </c>
      <c r="AB23" s="166"/>
      <c r="AF23" s="167"/>
      <c r="AG23" s="166"/>
      <c r="AK23" s="167"/>
      <c r="AV23" s="168">
        <v>41204</v>
      </c>
      <c r="AW23" s="1">
        <f t="shared" ca="1" si="2"/>
        <v>12</v>
      </c>
      <c r="AX23" s="1" t="s">
        <v>445</v>
      </c>
      <c r="BA23" s="184" t="s">
        <v>356</v>
      </c>
      <c r="BK23" s="167"/>
      <c r="BU23" s="167"/>
      <c r="CE23" s="167"/>
      <c r="CF23" s="1" t="s">
        <v>486</v>
      </c>
      <c r="CI23" s="15" t="s">
        <v>95</v>
      </c>
    </row>
    <row r="24" spans="1:89" ht="15" hidden="1" thickTop="1">
      <c r="A24" s="4">
        <v>23</v>
      </c>
      <c r="B24" s="171" t="s">
        <v>119</v>
      </c>
      <c r="C24" s="165" t="s">
        <v>79</v>
      </c>
      <c r="D24" s="1" t="s">
        <v>418</v>
      </c>
      <c r="E24" s="1">
        <f t="shared" ca="1" si="0"/>
        <v>44</v>
      </c>
      <c r="F24" s="1">
        <f t="shared" si="1"/>
        <v>23</v>
      </c>
      <c r="G24" s="1" t="s">
        <v>419</v>
      </c>
      <c r="W24" s="1" t="s">
        <v>82</v>
      </c>
      <c r="X24" s="1">
        <v>0</v>
      </c>
      <c r="Z24" s="1">
        <v>0</v>
      </c>
      <c r="AA24" s="1">
        <v>0</v>
      </c>
      <c r="AB24" s="166"/>
      <c r="AC24" s="1" t="s">
        <v>128</v>
      </c>
      <c r="AF24" s="167"/>
      <c r="AG24" s="166"/>
      <c r="AK24" s="167"/>
      <c r="AL24" s="1" t="s">
        <v>437</v>
      </c>
      <c r="AV24" s="168">
        <v>37987</v>
      </c>
      <c r="AW24" s="1">
        <f t="shared" ca="1" si="2"/>
        <v>21</v>
      </c>
      <c r="AX24" s="1" t="s">
        <v>445</v>
      </c>
      <c r="BA24" s="184" t="s">
        <v>356</v>
      </c>
      <c r="BB24" s="1" t="s">
        <v>448</v>
      </c>
      <c r="BC24" s="1" t="s">
        <v>481</v>
      </c>
      <c r="BD24" s="1">
        <v>1</v>
      </c>
      <c r="BK24" s="167"/>
      <c r="BU24" s="167"/>
      <c r="CE24" s="167"/>
    </row>
    <row r="25" spans="1:89" ht="15" hidden="1" thickTop="1">
      <c r="A25" s="4">
        <v>24</v>
      </c>
      <c r="B25" s="171" t="s">
        <v>120</v>
      </c>
      <c r="C25" s="165" t="s">
        <v>79</v>
      </c>
      <c r="D25" s="1" t="s">
        <v>418</v>
      </c>
      <c r="E25" s="1">
        <f t="shared" ca="1" si="0"/>
        <v>56</v>
      </c>
      <c r="F25" s="1">
        <f t="shared" si="1"/>
        <v>29</v>
      </c>
      <c r="G25" s="1" t="s">
        <v>5</v>
      </c>
      <c r="K25" s="1">
        <v>82</v>
      </c>
      <c r="M25" s="1">
        <v>1</v>
      </c>
      <c r="N25" s="1">
        <v>0</v>
      </c>
      <c r="O25" s="1">
        <v>0</v>
      </c>
      <c r="V25" s="1">
        <v>131</v>
      </c>
      <c r="W25" s="1" t="s">
        <v>82</v>
      </c>
      <c r="X25" s="1">
        <v>0</v>
      </c>
      <c r="Z25" s="1">
        <v>0</v>
      </c>
      <c r="AA25" s="1">
        <v>1</v>
      </c>
      <c r="AB25" s="166"/>
      <c r="AC25" s="1" t="s">
        <v>83</v>
      </c>
      <c r="AD25" s="1" t="s">
        <v>128</v>
      </c>
      <c r="AF25" s="167"/>
      <c r="AG25" s="166"/>
      <c r="AK25" s="167"/>
      <c r="AL25" s="1" t="s">
        <v>440</v>
      </c>
      <c r="AM25" s="1" t="s">
        <v>84</v>
      </c>
      <c r="AN25" s="1" t="s">
        <v>437</v>
      </c>
      <c r="AO25" s="1" t="s">
        <v>437</v>
      </c>
      <c r="AP25" s="1" t="s">
        <v>437</v>
      </c>
      <c r="AQ25" s="1" t="s">
        <v>437</v>
      </c>
      <c r="AR25" s="1" t="s">
        <v>437</v>
      </c>
      <c r="AS25" s="1" t="s">
        <v>437</v>
      </c>
      <c r="AT25" s="1" t="s">
        <v>437</v>
      </c>
      <c r="AU25" s="1" t="s">
        <v>437</v>
      </c>
      <c r="AV25" s="168">
        <v>35796</v>
      </c>
      <c r="AW25" s="1">
        <f t="shared" ca="1" si="2"/>
        <v>27</v>
      </c>
      <c r="AX25" s="1" t="s">
        <v>63</v>
      </c>
      <c r="AY25" s="1">
        <v>5</v>
      </c>
      <c r="BA25" s="184" t="s">
        <v>10</v>
      </c>
      <c r="BB25" s="1" t="s">
        <v>448</v>
      </c>
      <c r="BK25" s="167"/>
      <c r="BU25" s="167"/>
      <c r="CE25" s="167"/>
      <c r="CG25" s="1">
        <v>1</v>
      </c>
      <c r="CI25" s="15" t="s">
        <v>121</v>
      </c>
    </row>
    <row r="26" spans="1:89" ht="15" hidden="1" thickTop="1">
      <c r="A26" s="4">
        <v>25</v>
      </c>
      <c r="B26" s="171" t="s">
        <v>122</v>
      </c>
      <c r="C26" s="165" t="s">
        <v>79</v>
      </c>
      <c r="D26" s="170" t="s">
        <v>170</v>
      </c>
      <c r="E26" s="1">
        <f t="shared" ca="1" si="0"/>
        <v>69</v>
      </c>
      <c r="F26" s="1">
        <f t="shared" si="1"/>
        <v>0</v>
      </c>
      <c r="G26" s="1" t="s">
        <v>419</v>
      </c>
      <c r="AV26" s="168">
        <v>20507</v>
      </c>
      <c r="AW26" s="1">
        <f t="shared" ca="1" si="2"/>
        <v>69</v>
      </c>
      <c r="AX26" s="1" t="s">
        <v>445</v>
      </c>
      <c r="BA26" s="184"/>
      <c r="CI26" s="15" t="s">
        <v>123</v>
      </c>
    </row>
    <row r="27" spans="1:89" ht="15" hidden="1" thickTop="1">
      <c r="A27" s="4">
        <v>26</v>
      </c>
      <c r="B27" s="194">
        <v>24134</v>
      </c>
      <c r="C27" s="165" t="s">
        <v>79</v>
      </c>
      <c r="D27" s="170" t="s">
        <v>418</v>
      </c>
      <c r="E27" s="1">
        <f t="shared" ca="1" si="0"/>
        <v>59</v>
      </c>
      <c r="F27" s="1">
        <f t="shared" si="1"/>
        <v>37</v>
      </c>
      <c r="G27" s="1" t="s">
        <v>11</v>
      </c>
      <c r="H27" s="1" t="s">
        <v>12</v>
      </c>
      <c r="I27" s="1" t="s">
        <v>12</v>
      </c>
      <c r="J27" s="1">
        <v>186</v>
      </c>
      <c r="K27" s="1">
        <v>60</v>
      </c>
      <c r="M27" s="1">
        <v>0</v>
      </c>
      <c r="N27" s="1">
        <v>0</v>
      </c>
      <c r="O27" s="1">
        <v>0</v>
      </c>
      <c r="P27" s="1">
        <v>36</v>
      </c>
      <c r="Q27" s="1">
        <v>36</v>
      </c>
      <c r="R27" s="1">
        <v>10</v>
      </c>
      <c r="S27" s="1">
        <v>10</v>
      </c>
      <c r="T27" s="1">
        <v>80</v>
      </c>
      <c r="U27" s="1">
        <v>194</v>
      </c>
      <c r="W27" s="1" t="s">
        <v>82</v>
      </c>
      <c r="X27" s="1">
        <v>0</v>
      </c>
      <c r="Y27" s="1" t="s">
        <v>124</v>
      </c>
      <c r="Z27" s="1">
        <v>1</v>
      </c>
      <c r="AA27" s="1">
        <v>0</v>
      </c>
      <c r="AB27" s="166" t="s">
        <v>106</v>
      </c>
      <c r="AF27" s="167"/>
      <c r="AG27" s="166"/>
      <c r="AH27" s="1" t="s">
        <v>106</v>
      </c>
      <c r="AK27" s="167"/>
      <c r="AL27" s="1" t="s">
        <v>437</v>
      </c>
      <c r="AV27" s="168">
        <v>37987</v>
      </c>
      <c r="AW27" s="1">
        <f t="shared" ca="1" si="2"/>
        <v>21</v>
      </c>
      <c r="AX27" s="1" t="s">
        <v>444</v>
      </c>
      <c r="BA27" s="184" t="s">
        <v>34</v>
      </c>
      <c r="BB27" s="1" t="s">
        <v>448</v>
      </c>
      <c r="BC27" s="1" t="s">
        <v>480</v>
      </c>
      <c r="BK27" s="167"/>
      <c r="BU27" s="167"/>
      <c r="CE27" s="167"/>
      <c r="CI27" s="15" t="s">
        <v>125</v>
      </c>
    </row>
    <row r="28" spans="1:89" ht="15" hidden="1" thickTop="1">
      <c r="A28" s="4">
        <v>27</v>
      </c>
      <c r="B28" s="171" t="s">
        <v>126</v>
      </c>
      <c r="C28" s="165" t="s">
        <v>79</v>
      </c>
      <c r="D28" s="170" t="s">
        <v>418</v>
      </c>
      <c r="E28" s="1">
        <f t="shared" ca="1" si="0"/>
        <v>47</v>
      </c>
      <c r="F28" s="1">
        <f t="shared" si="1"/>
        <v>38</v>
      </c>
      <c r="G28" s="1" t="s">
        <v>8</v>
      </c>
      <c r="H28" s="1" t="s">
        <v>12</v>
      </c>
      <c r="I28" s="1" t="s">
        <v>12</v>
      </c>
      <c r="M28" s="1">
        <v>0</v>
      </c>
      <c r="N28" s="1">
        <v>0</v>
      </c>
      <c r="O28" s="1">
        <v>0</v>
      </c>
      <c r="P28" s="1">
        <v>31</v>
      </c>
      <c r="Q28" s="1">
        <v>43</v>
      </c>
      <c r="R28" s="1">
        <v>50</v>
      </c>
      <c r="S28" s="1">
        <v>9</v>
      </c>
      <c r="T28" s="1">
        <v>100</v>
      </c>
      <c r="V28" s="1">
        <v>39</v>
      </c>
      <c r="W28" s="1" t="s">
        <v>82</v>
      </c>
      <c r="X28" s="1">
        <v>0</v>
      </c>
      <c r="Y28" s="1">
        <v>10</v>
      </c>
      <c r="Z28" s="1">
        <v>0</v>
      </c>
      <c r="AA28" s="1">
        <v>0</v>
      </c>
      <c r="AB28" s="166"/>
      <c r="AF28" s="167"/>
      <c r="AG28" s="166"/>
      <c r="AK28" s="167"/>
      <c r="AV28" s="168">
        <v>42736</v>
      </c>
      <c r="AW28" s="1">
        <f t="shared" ca="1" si="2"/>
        <v>8</v>
      </c>
      <c r="AX28" s="1" t="s">
        <v>445</v>
      </c>
      <c r="BA28" s="184" t="s">
        <v>356</v>
      </c>
      <c r="BB28" s="1" t="s">
        <v>34</v>
      </c>
      <c r="BK28" s="167"/>
      <c r="BU28" s="167"/>
      <c r="CE28" s="167"/>
      <c r="CI28" s="15" t="s">
        <v>127</v>
      </c>
    </row>
    <row r="29" spans="1:89" ht="15" hidden="1" thickTop="1">
      <c r="A29" s="4">
        <v>28</v>
      </c>
      <c r="B29" s="194">
        <v>23932</v>
      </c>
      <c r="C29" s="165" t="s">
        <v>79</v>
      </c>
      <c r="D29" s="170" t="s">
        <v>418</v>
      </c>
      <c r="E29" s="1">
        <f t="shared" ca="1" si="0"/>
        <v>60</v>
      </c>
      <c r="F29" s="1">
        <f t="shared" si="1"/>
        <v>40</v>
      </c>
      <c r="G29" s="1" t="s">
        <v>8</v>
      </c>
      <c r="H29" s="1" t="s">
        <v>12</v>
      </c>
      <c r="I29" s="1" t="s">
        <v>12</v>
      </c>
      <c r="J29" s="1">
        <v>160</v>
      </c>
      <c r="K29" s="1">
        <v>57</v>
      </c>
      <c r="M29" s="1">
        <v>0</v>
      </c>
      <c r="N29" s="1">
        <v>0</v>
      </c>
      <c r="O29" s="1">
        <v>0</v>
      </c>
      <c r="P29" s="1">
        <v>48</v>
      </c>
      <c r="Q29" s="1">
        <v>56</v>
      </c>
      <c r="T29" s="1">
        <v>84</v>
      </c>
      <c r="U29" s="1">
        <v>198</v>
      </c>
      <c r="Z29" s="1">
        <v>0</v>
      </c>
      <c r="AA29" s="1">
        <v>0</v>
      </c>
      <c r="AB29" s="166"/>
      <c r="AC29" s="1" t="s">
        <v>128</v>
      </c>
      <c r="AF29" s="167"/>
      <c r="AG29" s="166"/>
      <c r="AK29" s="167"/>
      <c r="AL29" s="1" t="s">
        <v>437</v>
      </c>
      <c r="AV29" s="168">
        <v>38718</v>
      </c>
      <c r="AW29" s="1">
        <f t="shared" ca="1" si="2"/>
        <v>19</v>
      </c>
      <c r="AX29" s="1" t="s">
        <v>31</v>
      </c>
      <c r="AY29" s="1">
        <v>0</v>
      </c>
      <c r="BA29" s="184"/>
      <c r="BB29" s="1" t="s">
        <v>448</v>
      </c>
      <c r="BK29" s="167"/>
      <c r="BU29" s="167"/>
      <c r="CE29" s="167"/>
      <c r="CI29" s="15" t="s">
        <v>129</v>
      </c>
    </row>
    <row r="30" spans="1:89" ht="15" hidden="1" thickTop="1">
      <c r="A30" s="4">
        <v>29</v>
      </c>
      <c r="B30" s="194">
        <v>31685</v>
      </c>
      <c r="C30" s="165" t="s">
        <v>79</v>
      </c>
      <c r="D30" s="170" t="s">
        <v>418</v>
      </c>
      <c r="E30" s="1">
        <f t="shared" ca="1" si="0"/>
        <v>38</v>
      </c>
      <c r="F30" s="1">
        <f t="shared" si="1"/>
        <v>32</v>
      </c>
      <c r="G30" s="1" t="s">
        <v>419</v>
      </c>
      <c r="H30" s="1" t="s">
        <v>12</v>
      </c>
      <c r="I30" s="1" t="s">
        <v>12</v>
      </c>
      <c r="J30" s="1">
        <v>172</v>
      </c>
      <c r="K30" s="1">
        <v>77</v>
      </c>
      <c r="M30" s="1">
        <v>0</v>
      </c>
      <c r="N30" s="1">
        <v>0</v>
      </c>
      <c r="O30" s="1">
        <v>0</v>
      </c>
      <c r="P30" s="1">
        <v>72</v>
      </c>
      <c r="Q30" s="1">
        <v>109</v>
      </c>
      <c r="R30" s="1">
        <v>81</v>
      </c>
      <c r="S30" s="1">
        <v>22</v>
      </c>
      <c r="T30" s="1">
        <v>86</v>
      </c>
      <c r="U30" s="1">
        <v>127</v>
      </c>
      <c r="W30" s="1" t="s">
        <v>82</v>
      </c>
      <c r="X30" s="1">
        <v>1</v>
      </c>
      <c r="Y30" s="1">
        <v>26</v>
      </c>
      <c r="Z30" s="1">
        <v>0</v>
      </c>
      <c r="AA30" s="1">
        <v>0</v>
      </c>
      <c r="AB30" s="166"/>
      <c r="AC30" s="1" t="s">
        <v>83</v>
      </c>
      <c r="AF30" s="167"/>
      <c r="AG30" s="166"/>
      <c r="AK30" s="167"/>
      <c r="AL30" s="1" t="s">
        <v>440</v>
      </c>
      <c r="AV30" s="168">
        <v>43466</v>
      </c>
      <c r="AW30" s="1">
        <f t="shared" ca="1" si="2"/>
        <v>6</v>
      </c>
      <c r="AX30" s="1" t="s">
        <v>445</v>
      </c>
      <c r="AY30" s="1" t="s">
        <v>69</v>
      </c>
      <c r="BA30" s="184" t="s">
        <v>34</v>
      </c>
      <c r="BB30" s="1" t="s">
        <v>34</v>
      </c>
      <c r="BK30" s="167"/>
      <c r="BU30" s="167"/>
      <c r="CE30" s="167"/>
      <c r="CG30" s="1">
        <v>1</v>
      </c>
      <c r="CI30" s="15" t="s">
        <v>130</v>
      </c>
    </row>
    <row r="31" spans="1:89" ht="15" hidden="1" thickTop="1">
      <c r="A31" s="4">
        <v>30</v>
      </c>
      <c r="B31" s="171">
        <v>23255</v>
      </c>
      <c r="C31" s="1" t="s">
        <v>131</v>
      </c>
      <c r="D31" s="1" t="s">
        <v>170</v>
      </c>
      <c r="E31" s="1">
        <f t="shared" ca="1" si="0"/>
        <v>61</v>
      </c>
      <c r="H31" s="1" t="s">
        <v>12</v>
      </c>
      <c r="I31" s="1" t="s">
        <v>12</v>
      </c>
      <c r="J31" s="1">
        <v>1.55</v>
      </c>
      <c r="K31" s="1">
        <v>90</v>
      </c>
      <c r="M31" s="1">
        <v>0</v>
      </c>
      <c r="N31" s="1">
        <v>0</v>
      </c>
      <c r="O31" s="1">
        <v>1</v>
      </c>
      <c r="AB31" s="166"/>
      <c r="AF31" s="167"/>
      <c r="AG31" s="166"/>
      <c r="AK31" s="167"/>
      <c r="AX31" s="1" t="s">
        <v>444</v>
      </c>
      <c r="AY31" s="1">
        <v>7</v>
      </c>
      <c r="BA31" s="184" t="s">
        <v>356</v>
      </c>
      <c r="BB31" s="1" t="s">
        <v>446</v>
      </c>
      <c r="BK31" s="167"/>
      <c r="BU31" s="167"/>
      <c r="CE31" s="167"/>
      <c r="CI31" s="15" t="s">
        <v>132</v>
      </c>
      <c r="CK31" s="1" t="s">
        <v>133</v>
      </c>
    </row>
    <row r="32" spans="1:89" ht="15" hidden="1" thickTop="1">
      <c r="A32" s="4">
        <v>31</v>
      </c>
      <c r="B32" s="171">
        <v>34922</v>
      </c>
      <c r="C32" s="1" t="s">
        <v>131</v>
      </c>
      <c r="D32" s="1" t="s">
        <v>418</v>
      </c>
      <c r="E32" s="1">
        <f t="shared" ca="1" si="0"/>
        <v>29</v>
      </c>
      <c r="F32" s="1">
        <f>DATEDIF(B32,AV32,"Y")</f>
        <v>28</v>
      </c>
      <c r="G32" s="1" t="s">
        <v>9</v>
      </c>
      <c r="H32" s="1" t="s">
        <v>13</v>
      </c>
      <c r="I32" s="1" t="s">
        <v>14</v>
      </c>
      <c r="J32" s="1">
        <v>1.7</v>
      </c>
      <c r="K32" s="1">
        <v>60</v>
      </c>
      <c r="M32" s="1">
        <v>0</v>
      </c>
      <c r="N32" s="1">
        <v>0</v>
      </c>
      <c r="O32" s="1">
        <v>0</v>
      </c>
      <c r="P32" s="1">
        <v>140</v>
      </c>
      <c r="Q32" s="1">
        <v>180</v>
      </c>
      <c r="R32" s="1">
        <v>50</v>
      </c>
      <c r="S32" s="1">
        <v>10</v>
      </c>
      <c r="T32" s="1">
        <v>80</v>
      </c>
      <c r="U32" s="1">
        <v>180</v>
      </c>
      <c r="X32" s="1">
        <v>0</v>
      </c>
      <c r="Y32" s="1">
        <v>0</v>
      </c>
      <c r="Z32" s="1">
        <v>0</v>
      </c>
      <c r="AA32" s="1">
        <v>0</v>
      </c>
      <c r="AB32" s="166"/>
      <c r="AC32" s="1" t="s">
        <v>106</v>
      </c>
      <c r="AF32" s="167"/>
      <c r="AG32" s="166"/>
      <c r="AI32" s="1">
        <v>7</v>
      </c>
      <c r="AK32" s="167">
        <v>7</v>
      </c>
      <c r="AL32" s="1" t="s">
        <v>437</v>
      </c>
      <c r="AV32" s="168">
        <v>45413</v>
      </c>
      <c r="AW32" s="1">
        <f t="shared" ca="1" si="2"/>
        <v>1</v>
      </c>
      <c r="AX32" s="1" t="s">
        <v>445</v>
      </c>
      <c r="AY32" s="1">
        <v>5</v>
      </c>
      <c r="BA32" s="184" t="s">
        <v>356</v>
      </c>
      <c r="BB32" s="1" t="s">
        <v>34</v>
      </c>
      <c r="BD32" s="1">
        <v>1</v>
      </c>
      <c r="BE32" s="1">
        <v>0</v>
      </c>
      <c r="BK32" s="167"/>
      <c r="BL32" s="1" t="s">
        <v>446</v>
      </c>
      <c r="BM32" s="1" t="s">
        <v>480</v>
      </c>
      <c r="BO32" s="1">
        <v>0</v>
      </c>
      <c r="BU32" s="167"/>
      <c r="BV32" s="1" t="s">
        <v>446</v>
      </c>
      <c r="BW32" s="1" t="s">
        <v>480</v>
      </c>
      <c r="BX32" s="1" t="s">
        <v>483</v>
      </c>
      <c r="BY32" s="1">
        <v>0</v>
      </c>
      <c r="CE32" s="167"/>
      <c r="CI32" s="15">
        <v>2</v>
      </c>
    </row>
    <row r="33" spans="1:90" ht="15" hidden="1" thickTop="1">
      <c r="A33" s="4">
        <v>32</v>
      </c>
      <c r="B33" s="171">
        <v>30533</v>
      </c>
      <c r="C33" s="1" t="s">
        <v>131</v>
      </c>
      <c r="D33" s="1" t="s">
        <v>170</v>
      </c>
      <c r="E33" s="1">
        <f t="shared" ca="1" si="0"/>
        <v>41</v>
      </c>
      <c r="G33" s="1" t="s">
        <v>8</v>
      </c>
      <c r="H33" s="1" t="s">
        <v>12</v>
      </c>
      <c r="I33" s="1" t="s">
        <v>12</v>
      </c>
      <c r="J33" s="1">
        <v>1.6</v>
      </c>
      <c r="K33" s="1">
        <v>80</v>
      </c>
      <c r="M33" s="1">
        <v>0</v>
      </c>
      <c r="N33" s="1">
        <v>0</v>
      </c>
      <c r="O33" s="1">
        <v>1</v>
      </c>
      <c r="P33" s="1">
        <v>120</v>
      </c>
      <c r="Q33" s="1">
        <v>110</v>
      </c>
      <c r="R33" s="1">
        <v>50</v>
      </c>
      <c r="S33" s="1">
        <v>10</v>
      </c>
      <c r="T33" s="1">
        <v>100</v>
      </c>
      <c r="U33" s="1">
        <v>220</v>
      </c>
      <c r="X33" s="1">
        <v>0</v>
      </c>
      <c r="Y33" s="1">
        <v>0</v>
      </c>
      <c r="Z33" s="1">
        <v>0</v>
      </c>
      <c r="AA33" s="1">
        <v>0</v>
      </c>
      <c r="AB33" s="166"/>
      <c r="AC33" s="1" t="s">
        <v>91</v>
      </c>
      <c r="AF33" s="167"/>
      <c r="AG33" s="166">
        <v>0</v>
      </c>
      <c r="AH33" s="1" t="s">
        <v>91</v>
      </c>
      <c r="AK33" s="167">
        <v>1.5</v>
      </c>
      <c r="AL33" s="1" t="s">
        <v>437</v>
      </c>
      <c r="AX33" s="1" t="s">
        <v>445</v>
      </c>
      <c r="BA33" s="184" t="s">
        <v>34</v>
      </c>
      <c r="BB33" s="1" t="s">
        <v>34</v>
      </c>
      <c r="BK33" s="167"/>
      <c r="BU33" s="167"/>
      <c r="CE33" s="167"/>
      <c r="CI33" s="15">
        <v>3</v>
      </c>
      <c r="CJ33" s="1" t="s">
        <v>134</v>
      </c>
      <c r="CL33" s="1" t="s">
        <v>135</v>
      </c>
    </row>
    <row r="34" spans="1:90" ht="15" hidden="1" thickTop="1">
      <c r="A34" s="4">
        <v>33</v>
      </c>
      <c r="B34" s="171">
        <v>21185</v>
      </c>
      <c r="C34" s="1" t="s">
        <v>131</v>
      </c>
      <c r="D34" s="1" t="s">
        <v>170</v>
      </c>
      <c r="E34" s="1">
        <f t="shared" ca="1" si="0"/>
        <v>67</v>
      </c>
      <c r="F34" s="1">
        <f t="shared" ref="F34:F65" si="3">DATEDIF(B34,AV34,"Y")</f>
        <v>64</v>
      </c>
      <c r="G34" s="1" t="s">
        <v>8</v>
      </c>
      <c r="H34" s="1" t="s">
        <v>12</v>
      </c>
      <c r="I34" s="1" t="s">
        <v>12</v>
      </c>
      <c r="J34" s="1">
        <v>1.5</v>
      </c>
      <c r="K34" s="1">
        <v>55</v>
      </c>
      <c r="M34" s="1">
        <v>0</v>
      </c>
      <c r="N34" s="1">
        <v>0</v>
      </c>
      <c r="O34" s="1">
        <v>0</v>
      </c>
      <c r="P34" s="1">
        <v>60</v>
      </c>
      <c r="Q34" s="1">
        <v>80</v>
      </c>
      <c r="R34" s="1">
        <v>25</v>
      </c>
      <c r="S34" s="1">
        <v>15</v>
      </c>
      <c r="T34" s="1">
        <v>100</v>
      </c>
      <c r="U34" s="1">
        <v>300</v>
      </c>
      <c r="X34" s="1">
        <v>0</v>
      </c>
      <c r="Y34" s="1">
        <v>0</v>
      </c>
      <c r="Z34" s="1">
        <v>0</v>
      </c>
      <c r="AA34" s="1">
        <v>0</v>
      </c>
      <c r="AB34" s="166"/>
      <c r="AC34" s="1" t="s">
        <v>91</v>
      </c>
      <c r="AD34" s="1" t="s">
        <v>128</v>
      </c>
      <c r="AF34" s="167"/>
      <c r="AG34" s="166"/>
      <c r="AH34" s="1" t="s">
        <v>91</v>
      </c>
      <c r="AK34" s="167"/>
      <c r="AL34" s="1" t="s">
        <v>437</v>
      </c>
      <c r="AV34" s="168">
        <v>44709</v>
      </c>
      <c r="AW34" s="1">
        <f t="shared" ca="1" si="2"/>
        <v>3</v>
      </c>
      <c r="AX34" s="1" t="s">
        <v>445</v>
      </c>
      <c r="BA34" s="184" t="s">
        <v>34</v>
      </c>
      <c r="BB34" s="1" t="s">
        <v>448</v>
      </c>
      <c r="BE34" s="1">
        <v>1</v>
      </c>
      <c r="BJ34" s="1">
        <v>1</v>
      </c>
      <c r="BK34" s="167"/>
      <c r="BL34" s="1" t="s">
        <v>447</v>
      </c>
      <c r="BU34" s="167"/>
      <c r="CE34" s="167"/>
      <c r="CI34" s="15">
        <v>4</v>
      </c>
      <c r="CJ34" s="1" t="s">
        <v>136</v>
      </c>
    </row>
    <row r="35" spans="1:90" ht="15" hidden="1" thickTop="1">
      <c r="A35" s="4">
        <v>34</v>
      </c>
      <c r="B35" s="171">
        <v>24583</v>
      </c>
      <c r="C35" s="1" t="s">
        <v>131</v>
      </c>
      <c r="D35" s="1" t="s">
        <v>418</v>
      </c>
      <c r="E35" s="1">
        <f t="shared" ca="1" si="0"/>
        <v>58</v>
      </c>
      <c r="F35" s="1">
        <f t="shared" si="3"/>
        <v>40</v>
      </c>
      <c r="G35" s="1" t="s">
        <v>8</v>
      </c>
      <c r="H35" s="1" t="s">
        <v>12</v>
      </c>
      <c r="I35" s="1" t="s">
        <v>12</v>
      </c>
      <c r="J35" s="1">
        <v>1.9</v>
      </c>
      <c r="K35" s="1">
        <v>85</v>
      </c>
      <c r="M35" s="1">
        <v>0</v>
      </c>
      <c r="N35" s="1">
        <v>1</v>
      </c>
      <c r="O35" s="1">
        <v>1</v>
      </c>
      <c r="P35" s="1">
        <v>120</v>
      </c>
      <c r="Q35" s="1">
        <v>140</v>
      </c>
      <c r="R35" s="1">
        <v>90</v>
      </c>
      <c r="S35" s="1">
        <v>25</v>
      </c>
      <c r="T35" s="1">
        <v>85</v>
      </c>
      <c r="U35" s="1">
        <v>200</v>
      </c>
      <c r="X35" s="1">
        <v>0</v>
      </c>
      <c r="Y35" s="1">
        <v>0</v>
      </c>
      <c r="Z35" s="1">
        <v>0</v>
      </c>
      <c r="AB35" s="166"/>
      <c r="AC35" s="1" t="s">
        <v>83</v>
      </c>
      <c r="AF35" s="167" t="s">
        <v>83</v>
      </c>
      <c r="AG35" s="166" t="s">
        <v>106</v>
      </c>
      <c r="AH35" s="1" t="s">
        <v>128</v>
      </c>
      <c r="AI35" s="1" t="s">
        <v>128</v>
      </c>
      <c r="AK35" s="167"/>
      <c r="AL35" s="1" t="s">
        <v>440</v>
      </c>
      <c r="AM35" s="1" t="s">
        <v>84</v>
      </c>
      <c r="AN35" s="1" t="s">
        <v>437</v>
      </c>
      <c r="AO35" s="1" t="s">
        <v>437</v>
      </c>
      <c r="AP35" s="1" t="s">
        <v>437</v>
      </c>
      <c r="AQ35" s="1" t="s">
        <v>437</v>
      </c>
      <c r="AR35" s="1" t="s">
        <v>437</v>
      </c>
      <c r="AS35" s="1" t="s">
        <v>437</v>
      </c>
      <c r="AV35" s="168">
        <v>39258</v>
      </c>
      <c r="AW35" s="1">
        <f t="shared" ca="1" si="2"/>
        <v>18</v>
      </c>
      <c r="AX35" s="1" t="s">
        <v>445</v>
      </c>
      <c r="AY35" s="1">
        <v>9</v>
      </c>
      <c r="BA35" s="184" t="s">
        <v>356</v>
      </c>
      <c r="BK35" s="167"/>
      <c r="BU35" s="167"/>
      <c r="CE35" s="167"/>
      <c r="CI35" s="15" t="s">
        <v>137</v>
      </c>
    </row>
    <row r="36" spans="1:90" ht="15" hidden="1" thickTop="1">
      <c r="A36" s="4">
        <v>35</v>
      </c>
      <c r="B36" s="171">
        <v>28913</v>
      </c>
      <c r="C36" s="1" t="s">
        <v>131</v>
      </c>
      <c r="D36" s="1" t="s">
        <v>418</v>
      </c>
      <c r="E36" s="1">
        <f t="shared" ca="1" si="0"/>
        <v>46</v>
      </c>
      <c r="F36" s="1">
        <f t="shared" si="3"/>
        <v>26</v>
      </c>
      <c r="G36" s="1" t="s">
        <v>8</v>
      </c>
      <c r="H36" s="1" t="s">
        <v>13</v>
      </c>
      <c r="I36" s="1" t="s">
        <v>12</v>
      </c>
      <c r="J36" s="1">
        <v>1.8</v>
      </c>
      <c r="K36" s="1">
        <v>80</v>
      </c>
      <c r="M36" s="1">
        <v>0</v>
      </c>
      <c r="N36" s="1">
        <v>0</v>
      </c>
      <c r="O36" s="1">
        <v>0</v>
      </c>
      <c r="P36" s="1">
        <v>40</v>
      </c>
      <c r="Q36" s="1">
        <v>40</v>
      </c>
      <c r="R36" s="1">
        <v>30</v>
      </c>
      <c r="S36" s="1">
        <v>10</v>
      </c>
      <c r="T36" s="1">
        <v>100</v>
      </c>
      <c r="U36" s="1">
        <v>250</v>
      </c>
      <c r="X36" s="1">
        <v>0</v>
      </c>
      <c r="Z36" s="1">
        <v>0</v>
      </c>
      <c r="AA36" s="1">
        <v>0</v>
      </c>
      <c r="AB36" s="166"/>
      <c r="AC36" s="1" t="s">
        <v>106</v>
      </c>
      <c r="AF36" s="167"/>
      <c r="AG36" s="166" t="s">
        <v>106</v>
      </c>
      <c r="AK36" s="167"/>
      <c r="AL36" s="1" t="s">
        <v>437</v>
      </c>
      <c r="AV36" s="168">
        <v>38558</v>
      </c>
      <c r="AW36" s="1">
        <f t="shared" ca="1" si="2"/>
        <v>19</v>
      </c>
      <c r="AX36" s="1" t="s">
        <v>445</v>
      </c>
      <c r="BA36" s="184" t="s">
        <v>356</v>
      </c>
      <c r="BB36" s="1" t="s">
        <v>446</v>
      </c>
      <c r="BC36" s="1" t="s">
        <v>480</v>
      </c>
      <c r="BK36" s="167"/>
      <c r="BU36" s="167"/>
      <c r="CE36" s="167"/>
    </row>
    <row r="37" spans="1:90" ht="15" thickTop="1">
      <c r="A37" s="4">
        <v>36</v>
      </c>
      <c r="B37" s="172">
        <v>33129</v>
      </c>
      <c r="C37" s="173" t="s">
        <v>138</v>
      </c>
      <c r="D37" s="1" t="s">
        <v>418</v>
      </c>
      <c r="E37" s="1">
        <f t="shared" ca="1" si="0"/>
        <v>34</v>
      </c>
      <c r="F37" s="1">
        <f t="shared" si="3"/>
        <v>34</v>
      </c>
      <c r="G37" s="1" t="s">
        <v>8</v>
      </c>
      <c r="H37" s="1" t="s">
        <v>12</v>
      </c>
      <c r="I37" s="1" t="s">
        <v>12</v>
      </c>
      <c r="M37" s="1">
        <v>0</v>
      </c>
      <c r="N37" s="1">
        <v>0</v>
      </c>
      <c r="O37" s="1">
        <v>0</v>
      </c>
      <c r="P37" s="1">
        <v>52</v>
      </c>
      <c r="Q37" s="1">
        <v>71</v>
      </c>
      <c r="R37" s="1">
        <v>18</v>
      </c>
      <c r="S37" s="1">
        <v>8</v>
      </c>
      <c r="U37" s="1">
        <v>205</v>
      </c>
      <c r="W37" s="1" t="s">
        <v>139</v>
      </c>
      <c r="X37" s="1">
        <v>0</v>
      </c>
      <c r="Y37" s="1" t="s">
        <v>140</v>
      </c>
      <c r="Z37" s="1">
        <v>0</v>
      </c>
      <c r="AA37" s="1">
        <v>0</v>
      </c>
      <c r="AB37" s="166"/>
      <c r="AC37" s="1" t="s">
        <v>83</v>
      </c>
      <c r="AD37" s="1" t="s">
        <v>128</v>
      </c>
      <c r="AF37" s="167">
        <v>1.1599999999999999</v>
      </c>
      <c r="AG37" s="166"/>
      <c r="AK37" s="167"/>
      <c r="AL37" s="1" t="s">
        <v>437</v>
      </c>
      <c r="AN37" s="1" t="s">
        <v>437</v>
      </c>
      <c r="AO37" s="1" t="s">
        <v>437</v>
      </c>
      <c r="AP37" s="1" t="s">
        <v>437</v>
      </c>
      <c r="AQ37" s="1" t="s">
        <v>437</v>
      </c>
      <c r="AR37" s="1" t="s">
        <v>437</v>
      </c>
      <c r="AS37" s="1" t="s">
        <v>437</v>
      </c>
      <c r="AT37" s="1" t="s">
        <v>437</v>
      </c>
      <c r="AU37" s="1" t="s">
        <v>437</v>
      </c>
      <c r="AV37" s="168">
        <v>45604</v>
      </c>
      <c r="AW37" s="1">
        <f t="shared" ca="1" si="2"/>
        <v>0</v>
      </c>
      <c r="AX37" s="1" t="s">
        <v>445</v>
      </c>
      <c r="AY37" s="1">
        <v>0</v>
      </c>
      <c r="AZ37" s="1">
        <v>1</v>
      </c>
      <c r="BA37" s="184" t="s">
        <v>356</v>
      </c>
      <c r="BB37" s="1" t="s">
        <v>34</v>
      </c>
      <c r="BK37" s="167"/>
      <c r="BU37" s="167"/>
      <c r="CE37" s="167"/>
      <c r="CI37" s="15" t="s">
        <v>141</v>
      </c>
    </row>
    <row r="38" spans="1:90" ht="43.2">
      <c r="A38" s="4">
        <v>37</v>
      </c>
      <c r="B38" s="172">
        <v>36321</v>
      </c>
      <c r="C38" s="173" t="s">
        <v>138</v>
      </c>
      <c r="D38" s="1" t="s">
        <v>170</v>
      </c>
      <c r="E38" s="1">
        <f t="shared" ca="1" si="0"/>
        <v>26</v>
      </c>
      <c r="F38" s="1">
        <f t="shared" si="3"/>
        <v>21</v>
      </c>
      <c r="G38" s="1" t="s">
        <v>5</v>
      </c>
      <c r="H38" s="1" t="s">
        <v>12</v>
      </c>
      <c r="I38" s="1" t="s">
        <v>12</v>
      </c>
      <c r="J38" s="1">
        <v>160</v>
      </c>
      <c r="K38" s="1">
        <v>63</v>
      </c>
      <c r="M38" s="1">
        <v>0</v>
      </c>
      <c r="N38" s="1">
        <v>0</v>
      </c>
      <c r="O38" s="1">
        <v>0</v>
      </c>
      <c r="P38" s="1">
        <v>37</v>
      </c>
      <c r="Q38" s="1">
        <v>15</v>
      </c>
      <c r="R38" s="1">
        <v>20</v>
      </c>
      <c r="S38" s="1">
        <v>11</v>
      </c>
      <c r="T38" s="1">
        <v>73</v>
      </c>
      <c r="U38" s="1">
        <v>222</v>
      </c>
      <c r="V38" s="1">
        <v>45</v>
      </c>
      <c r="W38" s="1">
        <v>0</v>
      </c>
      <c r="X38" s="1">
        <v>0</v>
      </c>
      <c r="Y38" s="1">
        <v>0</v>
      </c>
      <c r="AB38" s="166"/>
      <c r="AF38" s="167"/>
      <c r="AG38" s="166"/>
      <c r="AK38" s="167"/>
      <c r="AV38" s="168">
        <v>44317</v>
      </c>
      <c r="AW38" s="1">
        <f t="shared" ca="1" si="2"/>
        <v>4</v>
      </c>
      <c r="AX38" s="1" t="s">
        <v>63</v>
      </c>
      <c r="AY38" s="1">
        <v>0</v>
      </c>
      <c r="AZ38" s="1">
        <v>1</v>
      </c>
      <c r="BA38" s="184" t="s">
        <v>34</v>
      </c>
      <c r="BB38" s="1" t="s">
        <v>34</v>
      </c>
      <c r="BK38" s="167"/>
      <c r="BU38" s="167"/>
      <c r="CE38" s="167"/>
      <c r="CI38" s="15" t="s">
        <v>142</v>
      </c>
    </row>
    <row r="39" spans="1:90">
      <c r="A39" s="4">
        <v>38</v>
      </c>
      <c r="B39" s="172">
        <v>27361</v>
      </c>
      <c r="C39" s="173" t="s">
        <v>138</v>
      </c>
      <c r="D39" s="1" t="s">
        <v>418</v>
      </c>
      <c r="E39" s="1">
        <f t="shared" ca="1" si="0"/>
        <v>50</v>
      </c>
      <c r="F39" s="1">
        <f t="shared" si="3"/>
        <v>46</v>
      </c>
      <c r="G39" s="1" t="s">
        <v>8</v>
      </c>
      <c r="H39" s="1" t="s">
        <v>12</v>
      </c>
      <c r="I39" s="1" t="s">
        <v>12</v>
      </c>
      <c r="J39" s="1">
        <v>192</v>
      </c>
      <c r="K39" s="1">
        <v>74</v>
      </c>
      <c r="M39" s="1">
        <v>0</v>
      </c>
      <c r="N39" s="1">
        <v>0</v>
      </c>
      <c r="O39" s="1">
        <v>0</v>
      </c>
      <c r="P39" s="1">
        <v>37</v>
      </c>
      <c r="Q39" s="1">
        <v>18</v>
      </c>
      <c r="R39" s="1">
        <v>24</v>
      </c>
      <c r="S39" s="1">
        <v>10</v>
      </c>
      <c r="T39" s="1">
        <v>100</v>
      </c>
      <c r="U39" s="1">
        <v>265</v>
      </c>
      <c r="W39" s="1">
        <v>1500</v>
      </c>
      <c r="X39" s="1">
        <v>0</v>
      </c>
      <c r="Y39" s="1">
        <v>4170</v>
      </c>
      <c r="Z39" s="1">
        <v>0</v>
      </c>
      <c r="AA39" s="1">
        <v>0</v>
      </c>
      <c r="AB39" s="166"/>
      <c r="AC39" s="1" t="s">
        <v>110</v>
      </c>
      <c r="AD39" s="1" t="s">
        <v>91</v>
      </c>
      <c r="AF39" s="167"/>
      <c r="AG39" s="166"/>
      <c r="AK39" s="167"/>
      <c r="AL39" s="1" t="s">
        <v>437</v>
      </c>
      <c r="AN39" s="1" t="s">
        <v>437</v>
      </c>
      <c r="AO39" s="1" t="s">
        <v>437</v>
      </c>
      <c r="AP39" s="1" t="s">
        <v>437</v>
      </c>
      <c r="AQ39" s="1" t="s">
        <v>437</v>
      </c>
      <c r="AR39" s="1" t="s">
        <v>437</v>
      </c>
      <c r="AS39" s="1" t="s">
        <v>437</v>
      </c>
      <c r="AT39" s="1" t="s">
        <v>437</v>
      </c>
      <c r="AU39" s="1" t="s">
        <v>437</v>
      </c>
      <c r="AV39" s="168">
        <v>44441</v>
      </c>
      <c r="AW39" s="1">
        <f t="shared" ca="1" si="2"/>
        <v>3</v>
      </c>
      <c r="AX39" s="1" t="s">
        <v>31</v>
      </c>
      <c r="BA39" s="184" t="s">
        <v>34</v>
      </c>
      <c r="BB39" s="1" t="s">
        <v>34</v>
      </c>
      <c r="BK39" s="167"/>
      <c r="BU39" s="167"/>
      <c r="CE39" s="167"/>
      <c r="CI39" s="15" t="s">
        <v>143</v>
      </c>
    </row>
    <row r="40" spans="1:90">
      <c r="A40" s="4">
        <v>39</v>
      </c>
      <c r="B40" s="172">
        <v>25458</v>
      </c>
      <c r="C40" s="173" t="s">
        <v>138</v>
      </c>
      <c r="D40" s="1" t="s">
        <v>418</v>
      </c>
      <c r="E40" s="1">
        <f t="shared" ca="1" si="0"/>
        <v>55</v>
      </c>
      <c r="F40" s="1">
        <f t="shared" si="3"/>
        <v>50</v>
      </c>
      <c r="G40" s="1" t="s">
        <v>11</v>
      </c>
      <c r="H40" s="1" t="s">
        <v>12</v>
      </c>
      <c r="I40" s="1" t="s">
        <v>14</v>
      </c>
      <c r="J40" s="1">
        <v>180</v>
      </c>
      <c r="K40" s="1">
        <v>89</v>
      </c>
      <c r="M40" s="1">
        <v>0</v>
      </c>
      <c r="N40" s="1">
        <v>0</v>
      </c>
      <c r="O40" s="1">
        <v>0</v>
      </c>
      <c r="P40" s="1">
        <v>22</v>
      </c>
      <c r="Q40" s="1">
        <v>18</v>
      </c>
      <c r="R40" s="1">
        <v>19</v>
      </c>
      <c r="S40" s="1">
        <v>5</v>
      </c>
      <c r="T40" s="1">
        <v>90</v>
      </c>
      <c r="U40" s="1">
        <v>222</v>
      </c>
      <c r="V40" s="1">
        <v>36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66"/>
      <c r="AF40" s="167"/>
      <c r="AG40" s="166"/>
      <c r="AK40" s="167"/>
      <c r="AV40" s="168">
        <v>44047</v>
      </c>
      <c r="AW40" s="1">
        <f t="shared" ca="1" si="2"/>
        <v>4</v>
      </c>
      <c r="AX40" s="1" t="s">
        <v>444</v>
      </c>
      <c r="BA40" s="184" t="s">
        <v>34</v>
      </c>
      <c r="BB40" s="1" t="s">
        <v>34</v>
      </c>
      <c r="BK40" s="167"/>
      <c r="BU40" s="167"/>
      <c r="CE40" s="167"/>
      <c r="CG40" s="1">
        <v>1</v>
      </c>
      <c r="CI40" s="15" t="s">
        <v>144</v>
      </c>
    </row>
    <row r="41" spans="1:90" ht="72">
      <c r="A41" s="4">
        <v>40</v>
      </c>
      <c r="B41" s="172">
        <v>31557</v>
      </c>
      <c r="C41" s="173" t="s">
        <v>138</v>
      </c>
      <c r="D41" s="1" t="s">
        <v>170</v>
      </c>
      <c r="E41" s="1">
        <f t="shared" ca="1" si="0"/>
        <v>39</v>
      </c>
      <c r="F41" s="1">
        <f t="shared" si="3"/>
        <v>27</v>
      </c>
      <c r="G41" s="1" t="s">
        <v>6</v>
      </c>
      <c r="H41" s="1" t="s">
        <v>12</v>
      </c>
      <c r="I41" s="1" t="s">
        <v>12</v>
      </c>
      <c r="J41" s="1">
        <v>163</v>
      </c>
      <c r="K41" s="1">
        <v>57</v>
      </c>
      <c r="M41" s="1">
        <v>0</v>
      </c>
      <c r="N41" s="1">
        <v>0</v>
      </c>
      <c r="O41" s="1">
        <v>0</v>
      </c>
      <c r="P41" s="1">
        <v>62</v>
      </c>
      <c r="Q41" s="1">
        <v>76</v>
      </c>
      <c r="R41" s="1">
        <v>16</v>
      </c>
      <c r="S41" s="1">
        <v>8</v>
      </c>
      <c r="T41" s="1">
        <v>81</v>
      </c>
      <c r="U41" s="1">
        <v>121</v>
      </c>
      <c r="V41" s="1">
        <v>43</v>
      </c>
      <c r="W41" s="1">
        <v>15765</v>
      </c>
      <c r="X41" s="1">
        <v>0</v>
      </c>
      <c r="Y41" s="1">
        <v>85</v>
      </c>
      <c r="Z41" s="1">
        <v>0</v>
      </c>
      <c r="AA41" s="1">
        <v>0</v>
      </c>
      <c r="AB41" s="166"/>
      <c r="AC41" s="1" t="s">
        <v>83</v>
      </c>
      <c r="AF41" s="167"/>
      <c r="AG41" s="166"/>
      <c r="AH41" s="1" t="s">
        <v>128</v>
      </c>
      <c r="AI41" s="1" t="s">
        <v>91</v>
      </c>
      <c r="AK41" s="167"/>
      <c r="AL41" s="1" t="s">
        <v>440</v>
      </c>
      <c r="AM41" s="1" t="s">
        <v>84</v>
      </c>
      <c r="AV41" s="168">
        <v>41653</v>
      </c>
      <c r="AW41" s="1">
        <f t="shared" ca="1" si="2"/>
        <v>11</v>
      </c>
      <c r="AX41" s="1" t="s">
        <v>63</v>
      </c>
      <c r="AY41" s="1">
        <v>5.88</v>
      </c>
      <c r="BA41" s="184" t="s">
        <v>356</v>
      </c>
      <c r="BB41" s="1" t="s">
        <v>448</v>
      </c>
      <c r="BC41" s="1" t="s">
        <v>481</v>
      </c>
      <c r="BD41" s="1">
        <v>1</v>
      </c>
      <c r="BE41" s="1">
        <v>1</v>
      </c>
      <c r="BJ41" s="1">
        <v>1</v>
      </c>
      <c r="BK41" s="167"/>
      <c r="BL41" s="1" t="s">
        <v>446</v>
      </c>
      <c r="BU41" s="167"/>
      <c r="CE41" s="167"/>
      <c r="CG41" s="1">
        <v>1</v>
      </c>
      <c r="CH41" s="1">
        <v>1</v>
      </c>
      <c r="CI41" s="15" t="s">
        <v>145</v>
      </c>
    </row>
    <row r="42" spans="1:90">
      <c r="A42" s="4">
        <v>41</v>
      </c>
      <c r="B42" s="172">
        <v>31045</v>
      </c>
      <c r="C42" s="173" t="s">
        <v>138</v>
      </c>
      <c r="D42" s="1" t="s">
        <v>170</v>
      </c>
      <c r="E42" s="1">
        <f t="shared" ca="1" si="0"/>
        <v>40</v>
      </c>
      <c r="F42" s="1">
        <f t="shared" si="3"/>
        <v>36</v>
      </c>
      <c r="G42" s="1" t="s">
        <v>8</v>
      </c>
      <c r="H42" s="1" t="s">
        <v>14</v>
      </c>
      <c r="I42" s="1" t="s">
        <v>12</v>
      </c>
      <c r="J42" s="1">
        <v>168</v>
      </c>
      <c r="K42" s="1">
        <v>72</v>
      </c>
      <c r="M42" s="1">
        <v>0</v>
      </c>
      <c r="N42" s="1">
        <v>0</v>
      </c>
      <c r="O42" s="1">
        <v>0</v>
      </c>
      <c r="P42" s="1">
        <v>29</v>
      </c>
      <c r="Q42" s="1">
        <v>25</v>
      </c>
      <c r="R42" s="1">
        <v>24</v>
      </c>
      <c r="S42" s="1">
        <v>8</v>
      </c>
      <c r="V42" s="1">
        <v>48</v>
      </c>
      <c r="W42" s="1">
        <v>3081</v>
      </c>
      <c r="X42" s="1">
        <v>0</v>
      </c>
      <c r="Y42" s="1">
        <v>506</v>
      </c>
      <c r="Z42" s="1">
        <v>0</v>
      </c>
      <c r="AA42" s="1">
        <v>0</v>
      </c>
      <c r="AB42" s="166"/>
      <c r="AD42" s="1" t="s">
        <v>91</v>
      </c>
      <c r="AF42" s="167" t="s">
        <v>91</v>
      </c>
      <c r="AG42" s="166"/>
      <c r="AH42" s="1" t="s">
        <v>128</v>
      </c>
      <c r="AK42" s="167"/>
      <c r="AL42" s="1" t="s">
        <v>437</v>
      </c>
      <c r="AV42" s="168">
        <v>44530</v>
      </c>
      <c r="AW42" s="1">
        <f t="shared" ca="1" si="2"/>
        <v>3</v>
      </c>
      <c r="AX42" s="1" t="s">
        <v>445</v>
      </c>
      <c r="AY42" s="1">
        <v>0</v>
      </c>
      <c r="AZ42" s="1">
        <v>1</v>
      </c>
      <c r="BA42" s="184" t="s">
        <v>356</v>
      </c>
      <c r="BB42" s="1" t="s">
        <v>34</v>
      </c>
      <c r="BK42" s="167"/>
      <c r="BU42" s="167"/>
      <c r="CE42" s="167"/>
    </row>
    <row r="43" spans="1:90">
      <c r="A43" s="4">
        <v>42</v>
      </c>
      <c r="B43" s="172">
        <v>33604</v>
      </c>
      <c r="C43" s="173" t="s">
        <v>138</v>
      </c>
      <c r="D43" s="1" t="s">
        <v>418</v>
      </c>
      <c r="E43" s="1">
        <f t="shared" ca="1" si="0"/>
        <v>33</v>
      </c>
      <c r="F43" s="1">
        <f t="shared" si="3"/>
        <v>29</v>
      </c>
      <c r="G43" s="1" t="s">
        <v>6</v>
      </c>
      <c r="H43" s="1" t="s">
        <v>12</v>
      </c>
      <c r="I43" s="1" t="s">
        <v>12</v>
      </c>
      <c r="J43" s="1">
        <v>180</v>
      </c>
      <c r="K43" s="1">
        <v>73</v>
      </c>
      <c r="M43" s="1">
        <v>0</v>
      </c>
      <c r="N43" s="1">
        <v>0</v>
      </c>
      <c r="O43" s="1">
        <v>0</v>
      </c>
      <c r="P43" s="1">
        <v>0</v>
      </c>
      <c r="Q43" s="1">
        <v>39</v>
      </c>
      <c r="R43" s="1">
        <v>51</v>
      </c>
      <c r="S43" s="1">
        <v>8</v>
      </c>
      <c r="T43" s="1">
        <v>100</v>
      </c>
      <c r="U43" s="1">
        <v>211</v>
      </c>
      <c r="V43" s="1">
        <v>44</v>
      </c>
      <c r="Y43" s="1" t="s">
        <v>146</v>
      </c>
      <c r="AB43" s="166" t="s">
        <v>69</v>
      </c>
      <c r="AC43" s="1" t="s">
        <v>91</v>
      </c>
      <c r="AD43" s="1" t="s">
        <v>91</v>
      </c>
      <c r="AF43" s="167" t="s">
        <v>91</v>
      </c>
      <c r="AG43" s="166"/>
      <c r="AK43" s="167"/>
      <c r="AL43" s="1" t="s">
        <v>437</v>
      </c>
      <c r="AV43" s="168">
        <v>44504</v>
      </c>
      <c r="AW43" s="1">
        <f t="shared" ca="1" si="2"/>
        <v>3</v>
      </c>
      <c r="AX43" s="1" t="s">
        <v>63</v>
      </c>
      <c r="AY43" s="1">
        <v>0</v>
      </c>
      <c r="BA43" s="184" t="s">
        <v>356</v>
      </c>
      <c r="BB43" s="1" t="s">
        <v>34</v>
      </c>
      <c r="BK43" s="167"/>
      <c r="BU43" s="167"/>
      <c r="CE43" s="167"/>
    </row>
    <row r="44" spans="1:90">
      <c r="A44" s="4">
        <v>43</v>
      </c>
      <c r="B44" s="171">
        <v>29147</v>
      </c>
      <c r="C44" s="173" t="s">
        <v>138</v>
      </c>
      <c r="D44" s="1" t="s">
        <v>170</v>
      </c>
      <c r="E44" s="1">
        <f t="shared" ca="1" si="0"/>
        <v>45</v>
      </c>
      <c r="F44" s="1">
        <f t="shared" si="3"/>
        <v>37</v>
      </c>
      <c r="G44" s="1" t="s">
        <v>6</v>
      </c>
      <c r="H44" s="1" t="s">
        <v>12</v>
      </c>
      <c r="I44" s="1" t="s">
        <v>12</v>
      </c>
      <c r="J44" s="1">
        <v>155</v>
      </c>
      <c r="K44" s="1">
        <v>60</v>
      </c>
      <c r="M44" s="1">
        <v>0</v>
      </c>
      <c r="N44" s="1">
        <v>0</v>
      </c>
      <c r="O44" s="1">
        <v>1</v>
      </c>
      <c r="P44" s="1">
        <v>32</v>
      </c>
      <c r="Q44" s="1">
        <v>24</v>
      </c>
      <c r="R44" s="1">
        <v>18</v>
      </c>
      <c r="S44" s="1">
        <v>13</v>
      </c>
      <c r="T44" s="1">
        <v>97</v>
      </c>
      <c r="U44" s="1">
        <v>190</v>
      </c>
      <c r="V44" s="1">
        <v>39</v>
      </c>
      <c r="W44" s="1" t="s">
        <v>82</v>
      </c>
      <c r="X44" s="1">
        <v>0</v>
      </c>
      <c r="Y44" s="1">
        <v>100</v>
      </c>
      <c r="Z44" s="1">
        <v>0</v>
      </c>
      <c r="AA44" s="1">
        <v>0</v>
      </c>
      <c r="AB44" s="166" t="s">
        <v>128</v>
      </c>
      <c r="AC44" s="1" t="s">
        <v>128</v>
      </c>
      <c r="AF44" s="167"/>
      <c r="AG44" s="166"/>
      <c r="AK44" s="167"/>
      <c r="AL44" s="1" t="s">
        <v>437</v>
      </c>
      <c r="AN44" s="1" t="s">
        <v>437</v>
      </c>
      <c r="AO44" s="1" t="s">
        <v>437</v>
      </c>
      <c r="AP44" s="1" t="s">
        <v>437</v>
      </c>
      <c r="AQ44" s="1" t="s">
        <v>437</v>
      </c>
      <c r="AR44" s="1" t="s">
        <v>437</v>
      </c>
      <c r="AS44" s="1" t="s">
        <v>437</v>
      </c>
      <c r="AT44" s="1" t="s">
        <v>437</v>
      </c>
      <c r="AU44" s="1" t="s">
        <v>437</v>
      </c>
      <c r="AV44" s="168">
        <v>42726</v>
      </c>
      <c r="AW44" s="1">
        <f t="shared" ca="1" si="2"/>
        <v>8</v>
      </c>
      <c r="AX44" s="1" t="s">
        <v>445</v>
      </c>
      <c r="AY44" s="1">
        <v>6.43</v>
      </c>
      <c r="BA44" s="184" t="s">
        <v>356</v>
      </c>
      <c r="BB44" s="1" t="s">
        <v>447</v>
      </c>
      <c r="BC44" s="1" t="s">
        <v>480</v>
      </c>
      <c r="BD44" s="1">
        <v>1</v>
      </c>
      <c r="BE44" s="1">
        <v>1</v>
      </c>
      <c r="BF44" s="1">
        <v>1</v>
      </c>
      <c r="BK44" s="167"/>
      <c r="BL44" s="1" t="s">
        <v>447</v>
      </c>
      <c r="BM44" s="1" t="s">
        <v>480</v>
      </c>
      <c r="BN44" s="1" t="s">
        <v>483</v>
      </c>
      <c r="BO44" s="1">
        <v>1</v>
      </c>
      <c r="BP44" s="1">
        <v>1</v>
      </c>
      <c r="BR44" s="1">
        <v>1</v>
      </c>
      <c r="BU44" s="167"/>
      <c r="BV44" s="1" t="s">
        <v>447</v>
      </c>
      <c r="BW44" s="1" t="s">
        <v>480</v>
      </c>
      <c r="BX44" s="1" t="s">
        <v>483</v>
      </c>
      <c r="BY44" s="1">
        <v>1</v>
      </c>
      <c r="BZ44" s="1">
        <v>1</v>
      </c>
      <c r="CB44" s="1">
        <v>1</v>
      </c>
      <c r="CE44" s="167"/>
      <c r="CH44" s="1">
        <v>1</v>
      </c>
      <c r="CI44" s="15" t="s">
        <v>147</v>
      </c>
      <c r="CJ44" s="1" t="s">
        <v>148</v>
      </c>
    </row>
    <row r="45" spans="1:90">
      <c r="A45" s="4">
        <v>44</v>
      </c>
      <c r="B45" s="171">
        <v>24814</v>
      </c>
      <c r="C45" s="173" t="s">
        <v>138</v>
      </c>
      <c r="D45" s="1" t="s">
        <v>418</v>
      </c>
      <c r="E45" s="1">
        <f t="shared" ca="1" si="0"/>
        <v>57</v>
      </c>
      <c r="F45" s="1">
        <f t="shared" si="3"/>
        <v>39</v>
      </c>
      <c r="G45" s="1" t="s">
        <v>6</v>
      </c>
      <c r="J45" s="1">
        <v>176</v>
      </c>
      <c r="K45" s="1">
        <v>71</v>
      </c>
      <c r="M45" s="1">
        <v>0</v>
      </c>
      <c r="N45" s="1">
        <v>0</v>
      </c>
      <c r="O45" s="1">
        <v>0</v>
      </c>
      <c r="P45" s="1">
        <v>36</v>
      </c>
      <c r="Q45" s="1">
        <v>20</v>
      </c>
      <c r="R45" s="1">
        <v>16</v>
      </c>
      <c r="S45" s="1">
        <v>5</v>
      </c>
      <c r="T45" s="1">
        <v>100</v>
      </c>
      <c r="V45" s="1">
        <v>45</v>
      </c>
      <c r="Y45" s="1">
        <v>993</v>
      </c>
      <c r="Z45" s="1">
        <v>0</v>
      </c>
      <c r="AA45" s="1">
        <v>0</v>
      </c>
      <c r="AB45" s="166"/>
      <c r="AC45" s="1" t="s">
        <v>91</v>
      </c>
      <c r="AF45" s="167"/>
      <c r="AG45" s="166"/>
      <c r="AH45" s="1" t="s">
        <v>128</v>
      </c>
      <c r="AK45" s="167"/>
      <c r="AL45" s="1" t="s">
        <v>437</v>
      </c>
      <c r="AV45" s="168">
        <v>39083</v>
      </c>
      <c r="AW45" s="1">
        <f t="shared" ca="1" si="2"/>
        <v>18</v>
      </c>
      <c r="AX45" s="1" t="s">
        <v>63</v>
      </c>
      <c r="AY45" s="1" t="s">
        <v>358</v>
      </c>
      <c r="BA45" s="184" t="s">
        <v>34</v>
      </c>
      <c r="BB45" s="1" t="s">
        <v>448</v>
      </c>
      <c r="BF45" s="1">
        <v>1</v>
      </c>
      <c r="BH45" s="1">
        <v>1</v>
      </c>
      <c r="BI45" s="1">
        <v>1</v>
      </c>
      <c r="BK45" s="167"/>
      <c r="BN45" s="1" t="s">
        <v>482</v>
      </c>
      <c r="BU45" s="167"/>
      <c r="CE45" s="167"/>
      <c r="CI45" s="15" t="s">
        <v>149</v>
      </c>
    </row>
    <row r="46" spans="1:90">
      <c r="A46" s="4">
        <v>45</v>
      </c>
      <c r="B46" s="172">
        <v>31902</v>
      </c>
      <c r="C46" s="173" t="s">
        <v>138</v>
      </c>
      <c r="D46" s="1" t="s">
        <v>418</v>
      </c>
      <c r="E46" s="1">
        <f t="shared" ca="1" si="0"/>
        <v>38</v>
      </c>
      <c r="F46" s="1">
        <f t="shared" si="3"/>
        <v>35</v>
      </c>
      <c r="G46" s="1" t="s">
        <v>8</v>
      </c>
      <c r="H46" s="1" t="s">
        <v>13</v>
      </c>
      <c r="I46" s="1" t="s">
        <v>12</v>
      </c>
      <c r="K46" s="1">
        <v>87</v>
      </c>
      <c r="M46" s="1">
        <v>0</v>
      </c>
      <c r="N46" s="1">
        <v>0</v>
      </c>
      <c r="O46" s="1">
        <v>0</v>
      </c>
      <c r="P46" s="1">
        <v>22</v>
      </c>
      <c r="Q46" s="1">
        <v>18</v>
      </c>
      <c r="R46" s="1">
        <v>53</v>
      </c>
      <c r="S46" s="1">
        <v>18</v>
      </c>
      <c r="T46" s="1">
        <v>100</v>
      </c>
      <c r="U46" s="1">
        <v>215</v>
      </c>
      <c r="V46" s="1">
        <v>42</v>
      </c>
      <c r="W46" s="1">
        <v>4528</v>
      </c>
      <c r="X46" s="1">
        <v>0</v>
      </c>
      <c r="Y46" s="1">
        <v>113</v>
      </c>
      <c r="Z46" s="1">
        <v>0</v>
      </c>
      <c r="AA46" s="1">
        <v>0</v>
      </c>
      <c r="AB46" s="166"/>
      <c r="AC46" s="1" t="s">
        <v>110</v>
      </c>
      <c r="AF46" s="167"/>
      <c r="AG46" s="166"/>
      <c r="AK46" s="167"/>
      <c r="AL46" s="1" t="s">
        <v>437</v>
      </c>
      <c r="AV46" s="168">
        <v>44927</v>
      </c>
      <c r="AW46" s="1">
        <f t="shared" ca="1" si="2"/>
        <v>2</v>
      </c>
      <c r="AX46" s="1" t="s">
        <v>445</v>
      </c>
      <c r="AY46" s="1">
        <v>0</v>
      </c>
      <c r="AZ46" s="1">
        <v>1</v>
      </c>
      <c r="BA46" s="184" t="s">
        <v>34</v>
      </c>
      <c r="BB46" s="1" t="s">
        <v>34</v>
      </c>
      <c r="BK46" s="167"/>
      <c r="BU46" s="167"/>
      <c r="CE46" s="167"/>
    </row>
    <row r="47" spans="1:90">
      <c r="A47" s="4">
        <v>46</v>
      </c>
      <c r="B47" s="171">
        <v>32874</v>
      </c>
      <c r="C47" s="173" t="s">
        <v>138</v>
      </c>
      <c r="D47" s="1" t="s">
        <v>418</v>
      </c>
      <c r="E47" s="1">
        <f t="shared" ca="1" si="0"/>
        <v>35</v>
      </c>
      <c r="F47" s="1">
        <f t="shared" si="3"/>
        <v>31</v>
      </c>
      <c r="G47" s="1" t="s">
        <v>8</v>
      </c>
      <c r="H47" s="1" t="s">
        <v>12</v>
      </c>
      <c r="I47" s="1" t="s">
        <v>12</v>
      </c>
      <c r="M47" s="1">
        <v>0</v>
      </c>
      <c r="N47" s="1">
        <v>0</v>
      </c>
      <c r="O47" s="1">
        <v>0</v>
      </c>
      <c r="P47" s="1">
        <v>279</v>
      </c>
      <c r="Q47" s="1">
        <v>312</v>
      </c>
      <c r="R47" s="1">
        <v>113</v>
      </c>
      <c r="S47" s="1">
        <v>10</v>
      </c>
      <c r="T47" s="1">
        <v>80</v>
      </c>
      <c r="U47" s="1">
        <v>145</v>
      </c>
      <c r="V47" s="1">
        <v>37</v>
      </c>
      <c r="W47" s="1" t="s">
        <v>82</v>
      </c>
      <c r="X47" s="1">
        <v>0</v>
      </c>
      <c r="Y47" s="1">
        <v>135</v>
      </c>
      <c r="Z47" s="1">
        <v>0</v>
      </c>
      <c r="AA47" s="1">
        <v>0</v>
      </c>
      <c r="AB47" s="166"/>
      <c r="AC47" s="1" t="s">
        <v>110</v>
      </c>
      <c r="AD47" s="1" t="s">
        <v>106</v>
      </c>
      <c r="AF47" s="167"/>
      <c r="AG47" s="166"/>
      <c r="AK47" s="167"/>
      <c r="AL47" s="1" t="s">
        <v>437</v>
      </c>
      <c r="AN47" s="1" t="s">
        <v>437</v>
      </c>
      <c r="AO47" s="1" t="s">
        <v>437</v>
      </c>
      <c r="AP47" s="1" t="s">
        <v>437</v>
      </c>
      <c r="AQ47" s="1" t="s">
        <v>437</v>
      </c>
      <c r="AR47" s="1" t="s">
        <v>437</v>
      </c>
      <c r="AS47" s="1" t="s">
        <v>437</v>
      </c>
      <c r="AT47" s="1" t="s">
        <v>437</v>
      </c>
      <c r="AU47" s="1" t="s">
        <v>437</v>
      </c>
      <c r="AV47" s="168">
        <v>44348</v>
      </c>
      <c r="AW47" s="1">
        <f t="shared" ca="1" si="2"/>
        <v>4</v>
      </c>
      <c r="AX47" s="1" t="s">
        <v>445</v>
      </c>
      <c r="AY47" s="1">
        <v>6.13</v>
      </c>
      <c r="BA47" s="184" t="s">
        <v>356</v>
      </c>
      <c r="BB47" s="1" t="s">
        <v>447</v>
      </c>
      <c r="BC47" s="1" t="s">
        <v>480</v>
      </c>
      <c r="BJ47" s="1">
        <v>1</v>
      </c>
      <c r="BK47" s="167"/>
      <c r="BL47" s="1" t="s">
        <v>447</v>
      </c>
      <c r="BM47" s="1" t="s">
        <v>480</v>
      </c>
      <c r="BN47" s="1" t="s">
        <v>482</v>
      </c>
      <c r="BO47" s="1">
        <v>1</v>
      </c>
      <c r="BT47" s="1">
        <v>1</v>
      </c>
      <c r="BU47" s="167"/>
      <c r="BV47" s="1" t="s">
        <v>447</v>
      </c>
      <c r="BW47" s="1" t="s">
        <v>480</v>
      </c>
      <c r="BX47" s="1" t="s">
        <v>482</v>
      </c>
      <c r="CD47" s="1">
        <v>1</v>
      </c>
      <c r="CE47" s="167"/>
      <c r="CI47" s="15" t="s">
        <v>151</v>
      </c>
      <c r="CJ47" s="1" t="s">
        <v>152</v>
      </c>
    </row>
    <row r="48" spans="1:90">
      <c r="A48" s="4">
        <v>47</v>
      </c>
      <c r="B48" s="172">
        <v>31465</v>
      </c>
      <c r="C48" s="173" t="s">
        <v>138</v>
      </c>
      <c r="D48" s="1" t="s">
        <v>170</v>
      </c>
      <c r="E48" s="1">
        <f t="shared" ca="1" si="0"/>
        <v>39</v>
      </c>
      <c r="F48" s="1">
        <f t="shared" si="3"/>
        <v>35</v>
      </c>
      <c r="G48" s="1" t="s">
        <v>8</v>
      </c>
      <c r="H48" s="1" t="s">
        <v>12</v>
      </c>
      <c r="I48" s="1" t="s">
        <v>12</v>
      </c>
      <c r="J48" s="1">
        <v>168</v>
      </c>
      <c r="K48" s="1">
        <v>69</v>
      </c>
      <c r="M48" s="1">
        <v>0</v>
      </c>
      <c r="N48" s="1">
        <v>1</v>
      </c>
      <c r="O48" s="1">
        <v>0</v>
      </c>
      <c r="P48" s="1">
        <v>17</v>
      </c>
      <c r="Q48" s="1">
        <v>6</v>
      </c>
      <c r="R48" s="1">
        <v>12</v>
      </c>
      <c r="U48" s="1">
        <v>224</v>
      </c>
      <c r="W48" s="1">
        <v>195</v>
      </c>
      <c r="X48" s="1">
        <v>0</v>
      </c>
      <c r="Y48" s="1">
        <v>539</v>
      </c>
      <c r="Z48" s="1">
        <v>0</v>
      </c>
      <c r="AA48" s="1">
        <v>0</v>
      </c>
      <c r="AB48" s="166"/>
      <c r="AC48" s="1" t="s">
        <v>110</v>
      </c>
      <c r="AD48" s="1" t="s">
        <v>91</v>
      </c>
      <c r="AF48" s="1" t="s">
        <v>91</v>
      </c>
      <c r="AG48" s="166"/>
      <c r="AL48" s="166" t="s">
        <v>437</v>
      </c>
      <c r="AV48" s="168">
        <v>44562</v>
      </c>
      <c r="AW48" s="1">
        <f t="shared" ca="1" si="2"/>
        <v>3</v>
      </c>
      <c r="AX48" s="1" t="s">
        <v>445</v>
      </c>
      <c r="AY48" s="1">
        <v>0</v>
      </c>
      <c r="BA48" s="184" t="s">
        <v>34</v>
      </c>
      <c r="BB48" s="1" t="s">
        <v>34</v>
      </c>
      <c r="CI48" s="32"/>
    </row>
    <row r="49" spans="1:87">
      <c r="A49" s="4">
        <v>48</v>
      </c>
      <c r="B49" s="172">
        <v>32284</v>
      </c>
      <c r="C49" s="173" t="s">
        <v>138</v>
      </c>
      <c r="D49" s="1" t="s">
        <v>418</v>
      </c>
      <c r="E49" s="1">
        <f t="shared" ca="1" si="0"/>
        <v>37</v>
      </c>
      <c r="F49" s="1">
        <f t="shared" si="3"/>
        <v>27</v>
      </c>
      <c r="G49" s="1" t="s">
        <v>6</v>
      </c>
      <c r="H49" s="1" t="s">
        <v>14</v>
      </c>
      <c r="I49" s="1" t="s">
        <v>14</v>
      </c>
      <c r="M49" s="1">
        <v>0</v>
      </c>
      <c r="N49" s="1">
        <v>0</v>
      </c>
      <c r="O49" s="1">
        <v>0</v>
      </c>
      <c r="P49" s="1">
        <v>232</v>
      </c>
      <c r="Q49" s="1">
        <v>96</v>
      </c>
      <c r="R49" s="1">
        <v>155</v>
      </c>
      <c r="S49" s="1">
        <v>12</v>
      </c>
      <c r="T49" s="1">
        <v>86</v>
      </c>
      <c r="U49" s="1">
        <v>265</v>
      </c>
      <c r="V49" s="1">
        <v>44</v>
      </c>
      <c r="W49" s="1">
        <v>21</v>
      </c>
      <c r="Y49" s="1">
        <v>18305</v>
      </c>
      <c r="Z49" s="1">
        <v>0</v>
      </c>
      <c r="AA49" s="1">
        <v>0</v>
      </c>
      <c r="AB49" s="166"/>
      <c r="AC49" s="1" t="s">
        <v>83</v>
      </c>
      <c r="AF49" s="167"/>
      <c r="AG49" s="166"/>
      <c r="AH49" s="1" t="s">
        <v>385</v>
      </c>
      <c r="AK49" s="167"/>
      <c r="AL49" s="1" t="s">
        <v>440</v>
      </c>
      <c r="AM49" s="1" t="s">
        <v>84</v>
      </c>
      <c r="AV49" s="168">
        <v>42370</v>
      </c>
      <c r="AW49" s="1">
        <f t="shared" ca="1" si="2"/>
        <v>9</v>
      </c>
      <c r="AX49" s="1" t="s">
        <v>63</v>
      </c>
      <c r="AY49" s="1">
        <v>8.11</v>
      </c>
      <c r="BA49" s="184" t="s">
        <v>356</v>
      </c>
      <c r="BB49" s="1" t="s">
        <v>448</v>
      </c>
      <c r="BC49" s="1" t="s">
        <v>481</v>
      </c>
      <c r="BD49" s="1">
        <v>1</v>
      </c>
      <c r="BE49" s="1">
        <v>1</v>
      </c>
      <c r="BH49" s="1">
        <v>1</v>
      </c>
      <c r="BJ49" s="1">
        <v>1</v>
      </c>
      <c r="BU49" s="167"/>
      <c r="CE49" s="167"/>
      <c r="CG49" s="1">
        <v>1</v>
      </c>
      <c r="CI49" s="15" t="s">
        <v>153</v>
      </c>
    </row>
    <row r="50" spans="1:87" ht="28.8">
      <c r="A50" s="4">
        <v>49</v>
      </c>
      <c r="B50" s="172">
        <v>35291</v>
      </c>
      <c r="C50" s="173" t="s">
        <v>138</v>
      </c>
      <c r="D50" s="1" t="s">
        <v>418</v>
      </c>
      <c r="E50" s="1">
        <f t="shared" ca="1" si="0"/>
        <v>28</v>
      </c>
      <c r="F50" s="1">
        <f t="shared" si="3"/>
        <v>19</v>
      </c>
      <c r="G50" s="1" t="s">
        <v>6</v>
      </c>
      <c r="H50" s="1" t="s">
        <v>12</v>
      </c>
      <c r="I50" s="1" t="s">
        <v>12</v>
      </c>
      <c r="J50" s="1">
        <v>170</v>
      </c>
      <c r="K50" s="1">
        <v>60</v>
      </c>
      <c r="M50" s="1">
        <v>0</v>
      </c>
      <c r="N50" s="1">
        <v>0</v>
      </c>
      <c r="O50" s="1">
        <v>0</v>
      </c>
      <c r="P50" s="174">
        <v>69</v>
      </c>
      <c r="Q50" s="174">
        <v>117</v>
      </c>
      <c r="R50" s="174">
        <v>116</v>
      </c>
      <c r="S50" s="174">
        <v>8</v>
      </c>
      <c r="T50" s="174">
        <v>83</v>
      </c>
      <c r="U50" s="174">
        <v>199</v>
      </c>
      <c r="V50" s="174"/>
      <c r="W50" s="1">
        <v>46</v>
      </c>
      <c r="Y50" s="1" t="s">
        <v>154</v>
      </c>
      <c r="Z50" s="1">
        <v>0</v>
      </c>
      <c r="AA50" s="1">
        <v>0</v>
      </c>
      <c r="AB50" s="166"/>
      <c r="AC50" s="1" t="s">
        <v>128</v>
      </c>
      <c r="AF50" s="167"/>
      <c r="AG50" s="166"/>
      <c r="AK50" s="167"/>
      <c r="AL50" s="1" t="s">
        <v>437</v>
      </c>
      <c r="AV50" s="168">
        <v>42237</v>
      </c>
      <c r="AW50" s="1">
        <f t="shared" ca="1" si="2"/>
        <v>9</v>
      </c>
      <c r="AX50" s="1" t="s">
        <v>63</v>
      </c>
      <c r="AY50" s="1">
        <v>5.2</v>
      </c>
      <c r="BA50" s="184" t="s">
        <v>356</v>
      </c>
      <c r="BB50" s="1" t="s">
        <v>448</v>
      </c>
      <c r="BD50" s="1">
        <v>1</v>
      </c>
      <c r="BE50" s="1">
        <v>1</v>
      </c>
      <c r="BF50" s="1">
        <v>1</v>
      </c>
      <c r="BJ50" s="1">
        <v>1</v>
      </c>
      <c r="BK50" s="167"/>
      <c r="BU50" s="167"/>
      <c r="CE50" s="167"/>
      <c r="CG50" s="1">
        <v>1</v>
      </c>
      <c r="CI50" s="15" t="s">
        <v>155</v>
      </c>
    </row>
    <row r="51" spans="1:87" ht="28.8">
      <c r="A51" s="4">
        <v>50</v>
      </c>
      <c r="B51" s="171">
        <v>31651</v>
      </c>
      <c r="C51" s="173" t="s">
        <v>138</v>
      </c>
      <c r="D51" s="1" t="s">
        <v>170</v>
      </c>
      <c r="E51" s="1">
        <f t="shared" ca="1" si="0"/>
        <v>38</v>
      </c>
      <c r="F51" s="1">
        <f t="shared" si="3"/>
        <v>34</v>
      </c>
      <c r="G51" s="1" t="s">
        <v>419</v>
      </c>
      <c r="H51" s="1" t="s">
        <v>12</v>
      </c>
      <c r="I51" s="1" t="s">
        <v>12</v>
      </c>
      <c r="J51" s="1">
        <v>165</v>
      </c>
      <c r="K51" s="1">
        <v>50</v>
      </c>
      <c r="M51" s="1">
        <v>0</v>
      </c>
      <c r="N51" s="1">
        <v>0</v>
      </c>
      <c r="O51" s="1">
        <v>0</v>
      </c>
      <c r="P51" s="1">
        <v>54</v>
      </c>
      <c r="Q51" s="1">
        <v>49</v>
      </c>
      <c r="R51" s="1">
        <v>17</v>
      </c>
      <c r="S51" s="1">
        <v>5</v>
      </c>
      <c r="T51" s="1">
        <v>91</v>
      </c>
      <c r="U51" s="1">
        <v>162</v>
      </c>
      <c r="V51" s="1">
        <v>44</v>
      </c>
      <c r="W51" s="1">
        <v>2898</v>
      </c>
      <c r="X51" s="1">
        <v>0</v>
      </c>
      <c r="Y51" s="1">
        <v>62</v>
      </c>
      <c r="Z51" s="1">
        <v>0</v>
      </c>
      <c r="AA51" s="1">
        <v>0</v>
      </c>
      <c r="AB51" s="166"/>
      <c r="AC51" s="1" t="s">
        <v>106</v>
      </c>
      <c r="AF51" s="167"/>
      <c r="AG51" s="166"/>
      <c r="AK51" s="167"/>
      <c r="AL51" s="1" t="s">
        <v>438</v>
      </c>
      <c r="AM51" s="1" t="s">
        <v>84</v>
      </c>
      <c r="AN51" s="1" t="s">
        <v>437</v>
      </c>
      <c r="AO51" s="1" t="s">
        <v>437</v>
      </c>
      <c r="AP51" s="1" t="s">
        <v>437</v>
      </c>
      <c r="AQ51" s="1" t="s">
        <v>437</v>
      </c>
      <c r="AR51" s="1" t="s">
        <v>437</v>
      </c>
      <c r="AS51" s="1" t="s">
        <v>437</v>
      </c>
      <c r="AT51" s="1" t="s">
        <v>437</v>
      </c>
      <c r="AV51" s="168">
        <v>44281</v>
      </c>
      <c r="AW51" s="1">
        <f t="shared" ca="1" si="2"/>
        <v>4</v>
      </c>
      <c r="AX51" s="1" t="s">
        <v>445</v>
      </c>
      <c r="AY51" s="1">
        <v>6.51</v>
      </c>
      <c r="BA51" s="184" t="s">
        <v>356</v>
      </c>
      <c r="BB51" s="1" t="s">
        <v>447</v>
      </c>
      <c r="BC51" s="1" t="s">
        <v>480</v>
      </c>
      <c r="BK51" s="167"/>
      <c r="BL51" s="1" t="s">
        <v>447</v>
      </c>
      <c r="BM51" s="1" t="s">
        <v>480</v>
      </c>
      <c r="BN51" s="1" t="s">
        <v>482</v>
      </c>
      <c r="BU51" s="167"/>
      <c r="BV51" s="1" t="s">
        <v>447</v>
      </c>
      <c r="BW51" s="1" t="s">
        <v>480</v>
      </c>
      <c r="BX51" s="1" t="s">
        <v>482</v>
      </c>
      <c r="CE51" s="167"/>
      <c r="CI51" s="15" t="s">
        <v>156</v>
      </c>
    </row>
    <row r="52" spans="1:87">
      <c r="A52" s="4">
        <v>51</v>
      </c>
      <c r="B52" s="172">
        <v>35237</v>
      </c>
      <c r="C52" s="173" t="s">
        <v>138</v>
      </c>
      <c r="D52" s="175" t="s">
        <v>418</v>
      </c>
      <c r="E52" s="1">
        <f t="shared" ca="1" si="0"/>
        <v>29</v>
      </c>
      <c r="F52" s="1">
        <f t="shared" si="3"/>
        <v>25</v>
      </c>
      <c r="G52" s="1" t="s">
        <v>8</v>
      </c>
      <c r="H52" s="1" t="s">
        <v>12</v>
      </c>
      <c r="I52" s="1" t="s">
        <v>12</v>
      </c>
      <c r="M52" s="1">
        <v>0</v>
      </c>
      <c r="N52" s="1">
        <v>0</v>
      </c>
      <c r="O52" s="1">
        <v>0</v>
      </c>
      <c r="P52" s="1">
        <v>125</v>
      </c>
      <c r="Q52" s="1">
        <v>72</v>
      </c>
      <c r="R52" s="1">
        <v>13</v>
      </c>
      <c r="T52" s="1">
        <v>87</v>
      </c>
      <c r="U52" s="1">
        <v>184</v>
      </c>
      <c r="X52" s="1">
        <v>0</v>
      </c>
      <c r="Y52" s="1" t="s">
        <v>158</v>
      </c>
      <c r="Z52" s="1">
        <v>0</v>
      </c>
      <c r="AA52" s="1">
        <v>0</v>
      </c>
      <c r="AB52" s="166"/>
      <c r="AC52" s="1" t="s">
        <v>110</v>
      </c>
      <c r="AD52" s="1" t="s">
        <v>106</v>
      </c>
      <c r="AF52" s="167" t="s">
        <v>386</v>
      </c>
      <c r="AG52" s="166"/>
      <c r="AK52" s="167"/>
      <c r="AL52" s="1" t="s">
        <v>437</v>
      </c>
      <c r="AV52" s="168">
        <v>44459</v>
      </c>
      <c r="AW52" s="1">
        <f t="shared" ca="1" si="2"/>
        <v>3</v>
      </c>
      <c r="AX52" s="1" t="s">
        <v>445</v>
      </c>
      <c r="AY52" s="1">
        <v>0</v>
      </c>
      <c r="AZ52" s="1">
        <v>1</v>
      </c>
      <c r="BA52" s="184" t="s">
        <v>356</v>
      </c>
      <c r="BB52" s="1" t="s">
        <v>34</v>
      </c>
      <c r="BK52" s="167"/>
      <c r="BU52" s="167"/>
      <c r="CE52" s="167"/>
    </row>
    <row r="53" spans="1:87">
      <c r="A53" s="4">
        <v>52</v>
      </c>
      <c r="B53" s="172">
        <v>34175</v>
      </c>
      <c r="C53" s="173" t="s">
        <v>138</v>
      </c>
      <c r="D53" s="175" t="s">
        <v>170</v>
      </c>
      <c r="E53" s="1">
        <f t="shared" ca="1" si="0"/>
        <v>31</v>
      </c>
      <c r="F53" s="1">
        <f t="shared" si="3"/>
        <v>27</v>
      </c>
      <c r="G53" s="1" t="s">
        <v>8</v>
      </c>
      <c r="H53" s="1" t="s">
        <v>12</v>
      </c>
      <c r="I53" s="1" t="s">
        <v>12</v>
      </c>
      <c r="J53" s="1">
        <v>163</v>
      </c>
      <c r="K53" s="1">
        <v>68</v>
      </c>
      <c r="M53" s="1">
        <v>0</v>
      </c>
      <c r="N53" s="1">
        <v>0</v>
      </c>
      <c r="O53" s="1">
        <v>0</v>
      </c>
      <c r="P53" s="1">
        <v>28</v>
      </c>
      <c r="Q53" s="1">
        <v>21</v>
      </c>
      <c r="R53" s="1">
        <v>22</v>
      </c>
      <c r="T53" s="1">
        <v>62</v>
      </c>
      <c r="U53" s="1">
        <v>167</v>
      </c>
      <c r="W53" s="1">
        <v>32</v>
      </c>
      <c r="X53" s="1">
        <v>0</v>
      </c>
      <c r="Z53" s="1">
        <v>0</v>
      </c>
      <c r="AA53" s="1">
        <v>0</v>
      </c>
      <c r="AB53" s="166"/>
      <c r="AD53" s="1" t="s">
        <v>110</v>
      </c>
      <c r="AF53" s="167" t="s">
        <v>387</v>
      </c>
      <c r="AG53" s="166"/>
      <c r="AK53" s="167"/>
      <c r="AL53" s="1" t="s">
        <v>437</v>
      </c>
      <c r="AV53" s="168">
        <v>44284</v>
      </c>
      <c r="AW53" s="1">
        <f t="shared" ca="1" si="2"/>
        <v>4</v>
      </c>
      <c r="AX53" s="1" t="s">
        <v>445</v>
      </c>
      <c r="AY53" s="1">
        <v>0</v>
      </c>
      <c r="AZ53" s="1">
        <v>1</v>
      </c>
      <c r="BA53" s="184" t="s">
        <v>356</v>
      </c>
      <c r="BB53" s="1" t="s">
        <v>34</v>
      </c>
      <c r="BK53" s="167"/>
      <c r="BU53" s="167"/>
      <c r="CE53" s="167"/>
    </row>
    <row r="54" spans="1:87" ht="28.8">
      <c r="A54" s="4">
        <v>53</v>
      </c>
      <c r="B54" s="171">
        <v>27937</v>
      </c>
      <c r="C54" s="173" t="s">
        <v>138</v>
      </c>
      <c r="D54" s="1" t="s">
        <v>418</v>
      </c>
      <c r="E54" s="1">
        <f t="shared" ca="1" si="0"/>
        <v>49</v>
      </c>
      <c r="F54" s="1">
        <f t="shared" si="3"/>
        <v>27</v>
      </c>
      <c r="G54" s="1" t="s">
        <v>419</v>
      </c>
      <c r="Z54" s="1">
        <v>0</v>
      </c>
      <c r="AA54" s="1">
        <v>0</v>
      </c>
      <c r="AB54" s="166"/>
      <c r="AF54" s="167"/>
      <c r="AG54" s="166"/>
      <c r="AK54" s="167"/>
      <c r="AO54" s="1" t="s">
        <v>439</v>
      </c>
      <c r="AP54" s="1" t="s">
        <v>439</v>
      </c>
      <c r="AT54" s="1" t="s">
        <v>440</v>
      </c>
      <c r="AV54" s="168">
        <v>37987</v>
      </c>
      <c r="AW54" s="1">
        <f t="shared" ca="1" si="2"/>
        <v>21</v>
      </c>
      <c r="AX54" s="1" t="s">
        <v>445</v>
      </c>
      <c r="AY54" s="1">
        <v>3.43</v>
      </c>
      <c r="BA54" s="184"/>
      <c r="BK54" s="167"/>
      <c r="BU54" s="167"/>
      <c r="CE54" s="167"/>
      <c r="CI54" s="15" t="s">
        <v>160</v>
      </c>
    </row>
    <row r="55" spans="1:87">
      <c r="A55" s="4">
        <v>54</v>
      </c>
      <c r="B55" s="172">
        <v>22408</v>
      </c>
      <c r="C55" s="173" t="s">
        <v>138</v>
      </c>
      <c r="D55" s="175" t="s">
        <v>418</v>
      </c>
      <c r="E55" s="1">
        <f t="shared" ca="1" si="0"/>
        <v>64</v>
      </c>
      <c r="F55" s="1">
        <f t="shared" si="3"/>
        <v>62</v>
      </c>
      <c r="G55" s="1" t="s">
        <v>419</v>
      </c>
      <c r="H55" s="1" t="s">
        <v>12</v>
      </c>
      <c r="I55" s="1" t="s">
        <v>12</v>
      </c>
      <c r="J55" s="1">
        <v>186</v>
      </c>
      <c r="K55" s="1">
        <v>68</v>
      </c>
      <c r="M55" s="1">
        <v>0</v>
      </c>
      <c r="N55" s="1">
        <v>0</v>
      </c>
      <c r="O55" s="1">
        <v>0</v>
      </c>
      <c r="P55" s="1">
        <v>82</v>
      </c>
      <c r="Q55" s="1">
        <v>33</v>
      </c>
      <c r="S55" s="1">
        <v>54</v>
      </c>
      <c r="T55" s="1">
        <v>73</v>
      </c>
      <c r="U55" s="1">
        <v>230</v>
      </c>
      <c r="V55" s="1">
        <v>27</v>
      </c>
      <c r="Z55" s="1">
        <v>0</v>
      </c>
      <c r="AA55" s="1">
        <v>0</v>
      </c>
      <c r="AB55" s="166"/>
      <c r="AF55" s="167"/>
      <c r="AG55" s="166"/>
      <c r="AK55" s="167"/>
      <c r="AL55" s="1" t="s">
        <v>437</v>
      </c>
      <c r="AR55" s="1" t="s">
        <v>440</v>
      </c>
      <c r="AV55" s="168">
        <v>45352</v>
      </c>
      <c r="AW55" s="1">
        <f t="shared" ca="1" si="2"/>
        <v>1</v>
      </c>
      <c r="AX55" s="1" t="s">
        <v>445</v>
      </c>
      <c r="AY55" s="1">
        <v>5.56</v>
      </c>
      <c r="BA55" s="184" t="s">
        <v>356</v>
      </c>
      <c r="BB55" s="1" t="s">
        <v>34</v>
      </c>
      <c r="BK55" s="167"/>
      <c r="BU55" s="167"/>
      <c r="CE55" s="167"/>
      <c r="CI55" s="15" t="s">
        <v>161</v>
      </c>
    </row>
    <row r="56" spans="1:87">
      <c r="A56" s="4">
        <v>55</v>
      </c>
      <c r="B56" s="171">
        <v>35598</v>
      </c>
      <c r="C56" s="173" t="s">
        <v>138</v>
      </c>
      <c r="D56" s="1" t="s">
        <v>418</v>
      </c>
      <c r="E56" s="1">
        <f t="shared" ca="1" si="0"/>
        <v>28</v>
      </c>
      <c r="F56" s="1">
        <f t="shared" si="3"/>
        <v>24</v>
      </c>
      <c r="G56" s="1" t="s">
        <v>8</v>
      </c>
      <c r="H56" s="1" t="s">
        <v>12</v>
      </c>
      <c r="I56" s="1" t="s">
        <v>12</v>
      </c>
      <c r="M56" s="1">
        <v>0</v>
      </c>
      <c r="N56" s="1">
        <v>0</v>
      </c>
      <c r="O56" s="1">
        <v>0</v>
      </c>
      <c r="P56" s="1">
        <v>49</v>
      </c>
      <c r="Q56" s="1">
        <v>56</v>
      </c>
      <c r="R56" s="1">
        <v>49</v>
      </c>
      <c r="S56" s="1">
        <v>10</v>
      </c>
      <c r="T56" s="1">
        <v>100</v>
      </c>
      <c r="U56" s="1">
        <v>210</v>
      </c>
      <c r="V56" s="1">
        <v>43</v>
      </c>
      <c r="W56" s="1">
        <v>16567</v>
      </c>
      <c r="X56" s="1">
        <v>1</v>
      </c>
      <c r="Y56" s="1">
        <v>0</v>
      </c>
      <c r="Z56" s="1">
        <v>0</v>
      </c>
      <c r="AA56" s="1">
        <v>0</v>
      </c>
      <c r="AB56" s="166"/>
      <c r="AC56" s="1">
        <v>4.5</v>
      </c>
      <c r="AF56" s="167" t="s">
        <v>150</v>
      </c>
      <c r="AG56" s="166"/>
      <c r="AK56" s="167"/>
      <c r="AL56" s="1" t="s">
        <v>437</v>
      </c>
      <c r="AV56" s="168">
        <v>44574</v>
      </c>
      <c r="AW56" s="1">
        <f t="shared" ca="1" si="2"/>
        <v>3</v>
      </c>
      <c r="AX56" s="1" t="s">
        <v>445</v>
      </c>
      <c r="AY56" s="1">
        <v>4.8600000000000003</v>
      </c>
      <c r="BA56" s="184" t="s">
        <v>356</v>
      </c>
      <c r="BB56" s="1" t="s">
        <v>446</v>
      </c>
      <c r="BE56" s="1">
        <v>0</v>
      </c>
      <c r="BK56" s="167"/>
      <c r="BL56" s="1" t="s">
        <v>446</v>
      </c>
      <c r="BO56" s="1">
        <v>0</v>
      </c>
      <c r="BU56" s="167"/>
      <c r="BV56" s="1" t="s">
        <v>446</v>
      </c>
      <c r="BY56" s="1">
        <v>0</v>
      </c>
      <c r="CE56" s="167"/>
      <c r="CG56" s="1">
        <v>1</v>
      </c>
      <c r="CI56" s="15" t="s">
        <v>98</v>
      </c>
    </row>
    <row r="57" spans="1:87">
      <c r="A57" s="4">
        <v>56</v>
      </c>
      <c r="B57" s="171">
        <v>38265</v>
      </c>
      <c r="C57" s="173" t="s">
        <v>138</v>
      </c>
      <c r="D57" s="1" t="s">
        <v>170</v>
      </c>
      <c r="E57" s="1">
        <f t="shared" ca="1" si="0"/>
        <v>20</v>
      </c>
      <c r="F57" s="1">
        <f t="shared" si="3"/>
        <v>18</v>
      </c>
      <c r="G57" s="1" t="s">
        <v>8</v>
      </c>
      <c r="H57" s="1" t="s">
        <v>12</v>
      </c>
      <c r="I57" s="1" t="s">
        <v>12</v>
      </c>
      <c r="J57" s="1">
        <v>162</v>
      </c>
      <c r="K57" s="1">
        <v>82</v>
      </c>
      <c r="M57" s="1">
        <v>0</v>
      </c>
      <c r="N57" s="1">
        <v>0</v>
      </c>
      <c r="O57" s="1">
        <v>0</v>
      </c>
      <c r="P57" s="1">
        <v>41</v>
      </c>
      <c r="Q57" s="1">
        <v>51</v>
      </c>
      <c r="R57" s="1">
        <v>31</v>
      </c>
      <c r="S57" s="1">
        <v>5</v>
      </c>
      <c r="T57" s="1">
        <v>92</v>
      </c>
      <c r="U57" s="1">
        <v>195</v>
      </c>
      <c r="V57" s="1">
        <v>43</v>
      </c>
      <c r="W57" s="1">
        <v>14955</v>
      </c>
      <c r="X57" s="1">
        <v>0</v>
      </c>
      <c r="Y57" s="1">
        <v>10</v>
      </c>
      <c r="Z57" s="1">
        <v>0</v>
      </c>
      <c r="AA57" s="1">
        <v>0</v>
      </c>
      <c r="AB57" s="166"/>
      <c r="AC57" s="1" t="s">
        <v>110</v>
      </c>
      <c r="AF57" s="167"/>
      <c r="AG57" s="166"/>
      <c r="AH57" s="1" t="s">
        <v>128</v>
      </c>
      <c r="AK57" s="167"/>
      <c r="AL57" s="1" t="s">
        <v>437</v>
      </c>
      <c r="AN57" s="1" t="s">
        <v>437</v>
      </c>
      <c r="AO57" s="1" t="s">
        <v>437</v>
      </c>
      <c r="AP57" s="1" t="s">
        <v>437</v>
      </c>
      <c r="AQ57" s="1" t="s">
        <v>437</v>
      </c>
      <c r="AR57" s="1" t="s">
        <v>437</v>
      </c>
      <c r="AS57" s="1" t="s">
        <v>437</v>
      </c>
      <c r="AT57" s="1" t="s">
        <v>437</v>
      </c>
      <c r="AV57" s="168">
        <v>44994</v>
      </c>
      <c r="AW57" s="1">
        <f t="shared" ca="1" si="2"/>
        <v>2</v>
      </c>
      <c r="AX57" s="1" t="s">
        <v>445</v>
      </c>
      <c r="AY57" s="1">
        <v>5.8</v>
      </c>
      <c r="BA57" s="184"/>
      <c r="BK57" s="167"/>
      <c r="BU57" s="167"/>
      <c r="CE57" s="167"/>
      <c r="CH57" s="1">
        <v>1</v>
      </c>
      <c r="CI57" s="15" t="s">
        <v>162</v>
      </c>
    </row>
    <row r="58" spans="1:87">
      <c r="A58" s="4">
        <v>57</v>
      </c>
      <c r="B58" s="172">
        <v>30977</v>
      </c>
      <c r="C58" s="173" t="s">
        <v>138</v>
      </c>
      <c r="D58" s="175" t="s">
        <v>170</v>
      </c>
      <c r="E58" s="1">
        <f t="shared" ca="1" si="0"/>
        <v>40</v>
      </c>
      <c r="F58" s="1">
        <f t="shared" si="3"/>
        <v>38</v>
      </c>
      <c r="G58" s="1" t="s">
        <v>8</v>
      </c>
      <c r="H58" s="1" t="s">
        <v>12</v>
      </c>
      <c r="I58" s="1" t="s">
        <v>12</v>
      </c>
      <c r="K58" s="1">
        <v>89</v>
      </c>
      <c r="M58" s="1">
        <v>0</v>
      </c>
      <c r="N58" s="1">
        <v>0</v>
      </c>
      <c r="O58" s="1">
        <v>0</v>
      </c>
      <c r="Z58" s="1">
        <v>0</v>
      </c>
      <c r="AA58" s="1">
        <v>1</v>
      </c>
      <c r="AB58" s="166"/>
      <c r="AF58" s="167"/>
      <c r="AG58" s="166"/>
      <c r="AK58" s="167"/>
      <c r="AL58" s="1" t="s">
        <v>437</v>
      </c>
      <c r="AV58" s="168">
        <v>45187</v>
      </c>
      <c r="AW58" s="1">
        <f t="shared" ca="1" si="2"/>
        <v>1</v>
      </c>
      <c r="AX58" s="1" t="s">
        <v>445</v>
      </c>
      <c r="AY58" s="1">
        <v>4.91</v>
      </c>
      <c r="BA58" s="184" t="s">
        <v>356</v>
      </c>
      <c r="BB58" s="1" t="s">
        <v>446</v>
      </c>
      <c r="BK58" s="167"/>
      <c r="BU58" s="167"/>
      <c r="CE58" s="167"/>
      <c r="CI58" s="15" t="s">
        <v>163</v>
      </c>
    </row>
    <row r="59" spans="1:87" ht="28.8">
      <c r="A59" s="4">
        <v>58</v>
      </c>
      <c r="B59" s="171">
        <v>35481</v>
      </c>
      <c r="C59" s="173" t="s">
        <v>138</v>
      </c>
      <c r="D59" s="1" t="s">
        <v>418</v>
      </c>
      <c r="E59" s="1">
        <f t="shared" ca="1" si="0"/>
        <v>28</v>
      </c>
      <c r="F59" s="1">
        <f t="shared" si="3"/>
        <v>21</v>
      </c>
      <c r="G59" s="1" t="s">
        <v>8</v>
      </c>
      <c r="H59" s="1" t="s">
        <v>13</v>
      </c>
      <c r="I59" s="1" t="s">
        <v>13</v>
      </c>
      <c r="J59" s="1">
        <v>190</v>
      </c>
      <c r="K59" s="1">
        <v>92</v>
      </c>
      <c r="M59" s="1">
        <v>0</v>
      </c>
      <c r="N59" s="1">
        <v>0</v>
      </c>
      <c r="O59" s="1">
        <v>0</v>
      </c>
      <c r="P59" s="1">
        <v>49</v>
      </c>
      <c r="Q59" s="1">
        <v>51</v>
      </c>
      <c r="R59" s="1">
        <v>93</v>
      </c>
      <c r="S59" s="1">
        <v>10</v>
      </c>
      <c r="T59" s="1">
        <v>83</v>
      </c>
      <c r="U59" s="1">
        <v>212</v>
      </c>
      <c r="V59" s="1">
        <v>42</v>
      </c>
      <c r="W59" s="1" t="s">
        <v>82</v>
      </c>
      <c r="X59" s="1">
        <v>0</v>
      </c>
      <c r="Y59" s="1">
        <v>0</v>
      </c>
      <c r="Z59" s="1">
        <v>0</v>
      </c>
      <c r="AA59" s="1">
        <v>0</v>
      </c>
      <c r="AB59" s="166"/>
      <c r="AC59" s="1" t="s">
        <v>106</v>
      </c>
      <c r="AF59" s="167" t="s">
        <v>110</v>
      </c>
      <c r="AG59" s="166"/>
      <c r="AK59" s="167"/>
      <c r="AL59" s="1" t="s">
        <v>437</v>
      </c>
      <c r="AN59" s="1" t="s">
        <v>437</v>
      </c>
      <c r="AO59" s="1" t="s">
        <v>437</v>
      </c>
      <c r="AP59" s="1" t="s">
        <v>437</v>
      </c>
      <c r="AQ59" s="1" t="s">
        <v>437</v>
      </c>
      <c r="AR59" s="1" t="s">
        <v>437</v>
      </c>
      <c r="AS59" s="1" t="s">
        <v>437</v>
      </c>
      <c r="AT59" s="1" t="s">
        <v>437</v>
      </c>
      <c r="AU59" s="1" t="s">
        <v>437</v>
      </c>
      <c r="AV59" s="168">
        <v>43466</v>
      </c>
      <c r="AW59" s="1">
        <f t="shared" ca="1" si="2"/>
        <v>6</v>
      </c>
      <c r="AX59" s="1" t="s">
        <v>445</v>
      </c>
      <c r="AY59" s="1">
        <v>5.45</v>
      </c>
      <c r="BA59" s="184" t="s">
        <v>356</v>
      </c>
      <c r="BB59" s="1" t="s">
        <v>447</v>
      </c>
      <c r="BC59" s="1" t="s">
        <v>480</v>
      </c>
      <c r="BD59" s="1">
        <v>1</v>
      </c>
      <c r="BE59" s="1">
        <v>0</v>
      </c>
      <c r="BK59" s="167" t="s">
        <v>466</v>
      </c>
      <c r="BL59" s="1" t="s">
        <v>447</v>
      </c>
      <c r="BM59" s="1" t="s">
        <v>480</v>
      </c>
      <c r="BN59" s="1" t="s">
        <v>483</v>
      </c>
      <c r="BO59" s="1">
        <v>1</v>
      </c>
      <c r="BU59" s="167">
        <v>3</v>
      </c>
      <c r="BV59" s="1" t="s">
        <v>447</v>
      </c>
      <c r="BW59" s="1" t="s">
        <v>480</v>
      </c>
      <c r="BX59" s="1" t="s">
        <v>483</v>
      </c>
      <c r="BY59" s="1">
        <v>1</v>
      </c>
      <c r="CE59" s="167">
        <v>3</v>
      </c>
      <c r="CI59" s="15" t="s">
        <v>164</v>
      </c>
    </row>
    <row r="60" spans="1:87">
      <c r="A60" s="4">
        <v>59</v>
      </c>
      <c r="B60" s="171">
        <v>36489</v>
      </c>
      <c r="C60" s="173" t="s">
        <v>138</v>
      </c>
      <c r="D60" s="1" t="s">
        <v>170</v>
      </c>
      <c r="E60" s="1">
        <f t="shared" ca="1" si="0"/>
        <v>25</v>
      </c>
      <c r="F60" s="1">
        <f t="shared" si="3"/>
        <v>21</v>
      </c>
      <c r="G60" s="1" t="s">
        <v>8</v>
      </c>
      <c r="H60" s="1" t="s">
        <v>12</v>
      </c>
      <c r="I60" s="1">
        <v>0</v>
      </c>
      <c r="J60" s="1">
        <v>164</v>
      </c>
      <c r="K60" s="1">
        <v>55</v>
      </c>
      <c r="M60" s="1">
        <v>0</v>
      </c>
      <c r="N60" s="1">
        <v>0</v>
      </c>
      <c r="O60" s="1">
        <v>0</v>
      </c>
      <c r="P60" s="1">
        <v>129</v>
      </c>
      <c r="Q60" s="1">
        <v>101</v>
      </c>
      <c r="R60" s="1">
        <v>17</v>
      </c>
      <c r="S60" s="1">
        <v>7</v>
      </c>
      <c r="T60" s="1">
        <v>100</v>
      </c>
      <c r="U60" s="1">
        <v>144</v>
      </c>
      <c r="V60" s="1">
        <v>38</v>
      </c>
      <c r="W60" s="1">
        <v>20944</v>
      </c>
      <c r="X60" s="1">
        <v>1</v>
      </c>
      <c r="Z60" s="1">
        <v>0</v>
      </c>
      <c r="AA60" s="1">
        <v>0</v>
      </c>
      <c r="AB60" s="166"/>
      <c r="AC60" s="1" t="s">
        <v>110</v>
      </c>
      <c r="AF60" s="167" t="s">
        <v>91</v>
      </c>
      <c r="AG60" s="166"/>
      <c r="AK60" s="167"/>
      <c r="AL60" s="1" t="s">
        <v>437</v>
      </c>
      <c r="AV60" s="168">
        <v>44470</v>
      </c>
      <c r="AW60" s="1">
        <f t="shared" ca="1" si="2"/>
        <v>3</v>
      </c>
      <c r="AX60" s="1" t="s">
        <v>31</v>
      </c>
      <c r="AY60" s="1">
        <v>5.94</v>
      </c>
      <c r="BA60" s="184" t="s">
        <v>356</v>
      </c>
      <c r="BB60" s="1" t="s">
        <v>447</v>
      </c>
      <c r="BE60" s="1">
        <v>0</v>
      </c>
      <c r="BK60" s="167"/>
      <c r="BL60" s="1" t="s">
        <v>447</v>
      </c>
      <c r="BO60" s="1">
        <v>0</v>
      </c>
      <c r="BU60" s="167"/>
      <c r="BV60" s="1" t="s">
        <v>447</v>
      </c>
      <c r="BY60" s="1">
        <v>0</v>
      </c>
      <c r="CE60" s="167"/>
      <c r="CI60" s="15" t="s">
        <v>165</v>
      </c>
    </row>
    <row r="61" spans="1:87">
      <c r="A61" s="4">
        <v>60</v>
      </c>
      <c r="B61" s="172">
        <v>29400</v>
      </c>
      <c r="C61" s="173" t="s">
        <v>138</v>
      </c>
      <c r="D61" s="175" t="s">
        <v>418</v>
      </c>
      <c r="E61" s="1">
        <f t="shared" ca="1" si="0"/>
        <v>45</v>
      </c>
      <c r="F61" s="1">
        <f t="shared" si="3"/>
        <v>41</v>
      </c>
      <c r="G61" s="1" t="s">
        <v>419</v>
      </c>
      <c r="H61" s="1" t="s">
        <v>12</v>
      </c>
      <c r="I61" s="1" t="s">
        <v>12</v>
      </c>
      <c r="J61" s="1">
        <v>165</v>
      </c>
      <c r="K61" s="1">
        <v>49</v>
      </c>
      <c r="M61" s="1">
        <v>0</v>
      </c>
      <c r="N61" s="1">
        <v>0</v>
      </c>
      <c r="O61" s="1">
        <v>0</v>
      </c>
      <c r="P61" s="1">
        <v>70</v>
      </c>
      <c r="Q61" s="1">
        <v>90</v>
      </c>
      <c r="R61" s="1">
        <v>320</v>
      </c>
      <c r="S61" s="1">
        <v>23</v>
      </c>
      <c r="T61" s="1">
        <v>58</v>
      </c>
      <c r="U61" s="1">
        <v>343</v>
      </c>
      <c r="V61" s="1">
        <v>22</v>
      </c>
      <c r="Z61" s="1">
        <v>0</v>
      </c>
      <c r="AA61" s="1">
        <v>0</v>
      </c>
      <c r="AB61" s="166"/>
      <c r="AF61" s="167"/>
      <c r="AG61" s="166"/>
      <c r="AK61" s="167"/>
      <c r="AL61" s="1" t="s">
        <v>440</v>
      </c>
      <c r="AM61" s="1" t="s">
        <v>88</v>
      </c>
      <c r="AN61" s="1" t="s">
        <v>437</v>
      </c>
      <c r="AO61" s="1" t="s">
        <v>437</v>
      </c>
      <c r="AP61" s="1" t="s">
        <v>437</v>
      </c>
      <c r="AQ61" s="1" t="s">
        <v>437</v>
      </c>
      <c r="AR61" s="1" t="s">
        <v>440</v>
      </c>
      <c r="AS61" s="1" t="s">
        <v>437</v>
      </c>
      <c r="AT61" s="1" t="s">
        <v>437</v>
      </c>
      <c r="AU61" s="1" t="s">
        <v>437</v>
      </c>
      <c r="AV61" s="168">
        <v>44422</v>
      </c>
      <c r="AW61" s="1">
        <f t="shared" ca="1" si="2"/>
        <v>3</v>
      </c>
      <c r="AX61" s="1" t="s">
        <v>445</v>
      </c>
      <c r="AY61" s="1">
        <v>6.64</v>
      </c>
      <c r="BA61" s="184" t="s">
        <v>356</v>
      </c>
      <c r="BB61" s="1" t="s">
        <v>34</v>
      </c>
      <c r="BK61" s="167"/>
      <c r="BU61" s="167"/>
      <c r="CE61" s="167"/>
      <c r="CF61" s="1" t="s">
        <v>486</v>
      </c>
      <c r="CI61" s="15" t="s">
        <v>166</v>
      </c>
    </row>
    <row r="62" spans="1:87">
      <c r="A62" s="4">
        <v>61</v>
      </c>
      <c r="B62" s="172">
        <v>25433</v>
      </c>
      <c r="C62" s="173" t="s">
        <v>138</v>
      </c>
      <c r="D62" s="175" t="s">
        <v>170</v>
      </c>
      <c r="E62" s="1">
        <f t="shared" ca="1" si="0"/>
        <v>55</v>
      </c>
      <c r="F62" s="1">
        <f t="shared" si="3"/>
        <v>47</v>
      </c>
      <c r="G62" s="1" t="s">
        <v>6</v>
      </c>
      <c r="H62" s="1" t="s">
        <v>12</v>
      </c>
      <c r="I62" s="1" t="s">
        <v>12</v>
      </c>
      <c r="J62" s="1">
        <v>165</v>
      </c>
      <c r="K62" s="1">
        <v>78</v>
      </c>
      <c r="M62" s="1">
        <v>0</v>
      </c>
      <c r="N62" s="1">
        <v>0</v>
      </c>
      <c r="O62" s="1">
        <v>0</v>
      </c>
      <c r="P62" s="1">
        <v>88</v>
      </c>
      <c r="Q62" s="1">
        <v>111</v>
      </c>
      <c r="U62" s="1">
        <v>158</v>
      </c>
      <c r="X62" s="1">
        <v>0</v>
      </c>
      <c r="Y62" s="1">
        <v>56</v>
      </c>
      <c r="Z62" s="1">
        <v>1</v>
      </c>
      <c r="AA62" s="1">
        <v>0</v>
      </c>
      <c r="AB62" s="166"/>
      <c r="AC62" s="1" t="s">
        <v>91</v>
      </c>
      <c r="AD62" s="1">
        <v>0.06</v>
      </c>
      <c r="AF62" s="167"/>
      <c r="AG62" s="166"/>
      <c r="AH62" s="1" t="s">
        <v>106</v>
      </c>
      <c r="AK62" s="167"/>
      <c r="AL62" s="1" t="s">
        <v>437</v>
      </c>
      <c r="AV62" s="168">
        <v>42761</v>
      </c>
      <c r="AW62" s="1">
        <f t="shared" ca="1" si="2"/>
        <v>8</v>
      </c>
      <c r="AX62" s="1" t="s">
        <v>63</v>
      </c>
      <c r="AY62" s="1">
        <v>8.16</v>
      </c>
      <c r="BA62" s="184" t="s">
        <v>356</v>
      </c>
      <c r="BB62" s="1" t="s">
        <v>448</v>
      </c>
      <c r="BC62" s="1" t="s">
        <v>480</v>
      </c>
      <c r="BD62" s="1">
        <v>1</v>
      </c>
      <c r="BE62" s="1">
        <v>1</v>
      </c>
      <c r="BG62" s="1">
        <v>1</v>
      </c>
      <c r="BK62" s="167"/>
      <c r="BL62" s="1" t="s">
        <v>446</v>
      </c>
      <c r="BM62" s="1" t="s">
        <v>480</v>
      </c>
      <c r="BN62" s="1" t="s">
        <v>482</v>
      </c>
      <c r="BO62" s="1">
        <v>0</v>
      </c>
      <c r="BU62" s="167"/>
      <c r="CE62" s="167"/>
      <c r="CI62" s="15" t="s">
        <v>167</v>
      </c>
    </row>
    <row r="63" spans="1:87">
      <c r="A63" s="4">
        <v>62</v>
      </c>
      <c r="B63" s="172">
        <v>29398</v>
      </c>
      <c r="C63" s="173" t="s">
        <v>138</v>
      </c>
      <c r="D63" s="175" t="s">
        <v>418</v>
      </c>
      <c r="E63" s="1">
        <f t="shared" ca="1" si="0"/>
        <v>45</v>
      </c>
      <c r="F63" s="1">
        <f t="shared" si="3"/>
        <v>39</v>
      </c>
      <c r="G63" s="1" t="s">
        <v>419</v>
      </c>
      <c r="H63" s="1" t="s">
        <v>12</v>
      </c>
      <c r="I63" s="1" t="s">
        <v>14</v>
      </c>
      <c r="M63" s="1">
        <v>0</v>
      </c>
      <c r="N63" s="1">
        <v>0</v>
      </c>
      <c r="O63" s="1">
        <v>0</v>
      </c>
      <c r="AB63" s="166"/>
      <c r="AF63" s="167"/>
      <c r="AG63" s="166"/>
      <c r="AK63" s="167"/>
      <c r="AL63" s="1" t="s">
        <v>440</v>
      </c>
      <c r="AV63" s="168">
        <v>43920</v>
      </c>
      <c r="AW63" s="1">
        <f t="shared" ca="1" si="2"/>
        <v>5</v>
      </c>
      <c r="AX63" s="1" t="s">
        <v>445</v>
      </c>
      <c r="AY63" s="1">
        <v>5.73</v>
      </c>
      <c r="BA63" s="184" t="s">
        <v>356</v>
      </c>
      <c r="BB63" s="1" t="s">
        <v>34</v>
      </c>
      <c r="BK63" s="167"/>
      <c r="BU63" s="167"/>
      <c r="CE63" s="167"/>
      <c r="CG63" s="1">
        <v>1</v>
      </c>
      <c r="CI63" s="15" t="s">
        <v>168</v>
      </c>
    </row>
    <row r="64" spans="1:87">
      <c r="A64" s="4">
        <v>63</v>
      </c>
      <c r="B64" s="171">
        <v>24256</v>
      </c>
      <c r="C64" s="173" t="s">
        <v>138</v>
      </c>
      <c r="D64" s="1" t="s">
        <v>418</v>
      </c>
      <c r="E64" s="1">
        <f t="shared" ca="1" si="0"/>
        <v>59</v>
      </c>
      <c r="F64" s="1">
        <f t="shared" si="3"/>
        <v>54</v>
      </c>
      <c r="G64" s="1" t="s">
        <v>5</v>
      </c>
      <c r="H64" s="1" t="s">
        <v>13</v>
      </c>
      <c r="I64" s="1" t="s">
        <v>12</v>
      </c>
      <c r="J64" s="1">
        <v>178</v>
      </c>
      <c r="K64" s="1">
        <v>65</v>
      </c>
      <c r="M64" s="1">
        <v>0</v>
      </c>
      <c r="N64" s="1">
        <v>0</v>
      </c>
      <c r="Z64" s="1">
        <v>0</v>
      </c>
      <c r="AA64" s="1">
        <v>0</v>
      </c>
      <c r="AB64" s="166"/>
      <c r="AC64" s="1" t="s">
        <v>106</v>
      </c>
      <c r="AF64" s="167"/>
      <c r="AG64" s="166" t="s">
        <v>83</v>
      </c>
      <c r="AK64" s="167"/>
      <c r="AL64" s="1" t="s">
        <v>439</v>
      </c>
      <c r="AR64" s="1" t="s">
        <v>439</v>
      </c>
      <c r="AT64" s="1" t="s">
        <v>439</v>
      </c>
      <c r="AV64" s="168">
        <v>44201</v>
      </c>
      <c r="AW64" s="1">
        <f t="shared" ca="1" si="2"/>
        <v>4</v>
      </c>
      <c r="AX64" s="1" t="s">
        <v>444</v>
      </c>
      <c r="AY64" s="1">
        <v>6.11</v>
      </c>
      <c r="BA64" s="184" t="s">
        <v>356</v>
      </c>
      <c r="BB64" s="1" t="s">
        <v>448</v>
      </c>
      <c r="BC64" s="1" t="s">
        <v>481</v>
      </c>
      <c r="BD64" s="1">
        <v>1</v>
      </c>
      <c r="BE64" s="1">
        <v>1</v>
      </c>
      <c r="BJ64" s="1">
        <v>1</v>
      </c>
      <c r="BK64" s="167"/>
      <c r="BU64" s="167"/>
      <c r="BV64" s="1" t="s">
        <v>446</v>
      </c>
      <c r="BW64" s="1" t="s">
        <v>481</v>
      </c>
      <c r="BX64" s="1" t="s">
        <v>483</v>
      </c>
      <c r="BY64" s="1">
        <v>0</v>
      </c>
      <c r="CE64" s="167"/>
      <c r="CI64" s="15" t="s">
        <v>410</v>
      </c>
    </row>
    <row r="65" spans="1:93" ht="29.4" thickBot="1">
      <c r="A65" s="4">
        <v>64</v>
      </c>
      <c r="B65" s="176">
        <v>31541</v>
      </c>
      <c r="C65" s="173" t="s">
        <v>138</v>
      </c>
      <c r="D65" s="177" t="s">
        <v>418</v>
      </c>
      <c r="E65" s="1">
        <f t="shared" ca="1" si="0"/>
        <v>39</v>
      </c>
      <c r="F65" s="1">
        <f t="shared" si="3"/>
        <v>31</v>
      </c>
      <c r="G65" s="1" t="s">
        <v>419</v>
      </c>
      <c r="H65" s="1" t="s">
        <v>12</v>
      </c>
      <c r="I65" s="1" t="s">
        <v>12</v>
      </c>
      <c r="J65" s="177">
        <v>174</v>
      </c>
      <c r="K65" s="177">
        <v>80</v>
      </c>
      <c r="M65" s="177">
        <v>0</v>
      </c>
      <c r="N65" s="177">
        <v>0</v>
      </c>
      <c r="O65" s="177">
        <v>0</v>
      </c>
      <c r="P65" s="177">
        <v>82</v>
      </c>
      <c r="Q65" s="177">
        <v>158</v>
      </c>
      <c r="R65" s="177">
        <v>42</v>
      </c>
      <c r="S65" s="177">
        <v>26</v>
      </c>
      <c r="T65" s="177">
        <v>83</v>
      </c>
      <c r="U65" s="177"/>
      <c r="V65" s="177">
        <v>40</v>
      </c>
      <c r="W65" s="177">
        <v>2497</v>
      </c>
      <c r="X65" s="177">
        <v>0</v>
      </c>
      <c r="Y65" s="177">
        <v>0</v>
      </c>
      <c r="Z65" s="177">
        <v>0</v>
      </c>
      <c r="AA65" s="177">
        <v>0</v>
      </c>
      <c r="AB65" s="178"/>
      <c r="AC65" s="177" t="s">
        <v>83</v>
      </c>
      <c r="AD65" s="177"/>
      <c r="AE65" s="177"/>
      <c r="AF65" s="179" t="s">
        <v>83</v>
      </c>
      <c r="AG65" s="178"/>
      <c r="AH65" s="177"/>
      <c r="AI65" s="177"/>
      <c r="AJ65" s="177"/>
      <c r="AK65" s="179"/>
      <c r="AL65" s="177" t="s">
        <v>438</v>
      </c>
      <c r="AM65" s="177" t="s">
        <v>84</v>
      </c>
      <c r="AN65" s="177" t="s">
        <v>437</v>
      </c>
      <c r="AO65" s="177" t="s">
        <v>437</v>
      </c>
      <c r="AP65" s="177" t="s">
        <v>437</v>
      </c>
      <c r="AQ65" s="177" t="s">
        <v>437</v>
      </c>
      <c r="AR65" s="177" t="s">
        <v>437</v>
      </c>
      <c r="AS65" s="177" t="s">
        <v>437</v>
      </c>
      <c r="AT65" s="177" t="s">
        <v>437</v>
      </c>
      <c r="AU65" s="177" t="s">
        <v>437</v>
      </c>
      <c r="AV65" s="180">
        <v>43101</v>
      </c>
      <c r="AW65" s="1">
        <f t="shared" ca="1" si="2"/>
        <v>7</v>
      </c>
      <c r="AX65" s="1" t="s">
        <v>445</v>
      </c>
      <c r="AY65" s="177">
        <v>7.31</v>
      </c>
      <c r="AZ65" s="177"/>
      <c r="BA65" s="184" t="s">
        <v>356</v>
      </c>
      <c r="BB65" s="1" t="s">
        <v>447</v>
      </c>
      <c r="BC65" s="1" t="s">
        <v>480</v>
      </c>
      <c r="BD65" s="177"/>
      <c r="BE65" s="177">
        <v>0</v>
      </c>
      <c r="BF65" s="177"/>
      <c r="BG65" s="177"/>
      <c r="BH65" s="177"/>
      <c r="BI65" s="177"/>
      <c r="BJ65" s="177"/>
      <c r="BK65" s="179"/>
      <c r="BL65" s="1" t="s">
        <v>446</v>
      </c>
      <c r="BO65" s="177"/>
      <c r="BP65" s="177"/>
      <c r="BQ65" s="177"/>
      <c r="BR65" s="177"/>
      <c r="BS65" s="177"/>
      <c r="BT65" s="177"/>
      <c r="BU65" s="179"/>
      <c r="BV65" s="1" t="s">
        <v>447</v>
      </c>
      <c r="BW65" s="1" t="s">
        <v>480</v>
      </c>
      <c r="BX65" s="1" t="s">
        <v>482</v>
      </c>
      <c r="BY65" s="177">
        <v>0</v>
      </c>
      <c r="BZ65" s="177"/>
      <c r="CA65" s="177"/>
      <c r="CB65" s="177"/>
      <c r="CC65" s="177"/>
      <c r="CD65" s="177"/>
      <c r="CE65" s="179"/>
      <c r="CF65" s="177"/>
      <c r="CG65" s="177"/>
      <c r="CH65" s="177"/>
      <c r="CI65" s="181" t="s">
        <v>169</v>
      </c>
      <c r="CJ65" s="177"/>
      <c r="CK65" s="177"/>
      <c r="CL65" s="177"/>
      <c r="CM65" s="177"/>
      <c r="CN65" s="177"/>
      <c r="CO65" s="177"/>
    </row>
    <row r="66" spans="1:93">
      <c r="A66" s="4">
        <v>65</v>
      </c>
      <c r="B66" s="172">
        <v>35754</v>
      </c>
      <c r="C66" s="173" t="s">
        <v>138</v>
      </c>
      <c r="D66" s="175" t="s">
        <v>418</v>
      </c>
      <c r="E66" s="1">
        <f t="shared" ref="E66:E129" ca="1" si="4">DATEDIF(B66,TODAY(),"Y")</f>
        <v>27</v>
      </c>
      <c r="F66" s="1">
        <f t="shared" ref="F66:F97" si="5">DATEDIF(B66,AV66,"Y")</f>
        <v>21</v>
      </c>
      <c r="G66" s="1" t="s">
        <v>8</v>
      </c>
      <c r="H66" s="1" t="s">
        <v>12</v>
      </c>
      <c r="I66" s="1" t="s">
        <v>12</v>
      </c>
      <c r="J66" s="1">
        <v>170</v>
      </c>
      <c r="K66" s="1">
        <v>64</v>
      </c>
      <c r="M66" s="1">
        <v>0</v>
      </c>
      <c r="N66" s="1">
        <v>0</v>
      </c>
      <c r="O66" s="1">
        <v>0</v>
      </c>
      <c r="P66" s="1">
        <v>40</v>
      </c>
      <c r="Q66" s="1">
        <v>40</v>
      </c>
      <c r="R66" s="1">
        <v>195</v>
      </c>
      <c r="S66" s="1">
        <v>8</v>
      </c>
      <c r="T66" s="1">
        <v>64</v>
      </c>
      <c r="U66" s="1">
        <v>76</v>
      </c>
      <c r="V66" s="1">
        <v>29</v>
      </c>
      <c r="W66" s="1">
        <v>133</v>
      </c>
      <c r="X66" s="1">
        <v>0</v>
      </c>
      <c r="Y66" s="1">
        <v>71</v>
      </c>
      <c r="Z66" s="1">
        <v>0</v>
      </c>
      <c r="AA66" s="1">
        <v>0</v>
      </c>
      <c r="AB66" s="166" t="s">
        <v>128</v>
      </c>
      <c r="AC66" s="1" t="s">
        <v>83</v>
      </c>
      <c r="AF66" s="167"/>
      <c r="AG66" s="166"/>
      <c r="AK66" s="167"/>
      <c r="AL66" s="1" t="s">
        <v>438</v>
      </c>
      <c r="AM66" s="1" t="s">
        <v>84</v>
      </c>
      <c r="AO66" s="1" t="s">
        <v>438</v>
      </c>
      <c r="AV66" s="168">
        <v>43495</v>
      </c>
      <c r="AW66" s="1">
        <f t="shared" ca="1" si="2"/>
        <v>6</v>
      </c>
      <c r="AX66" s="1" t="s">
        <v>445</v>
      </c>
      <c r="AY66" s="1">
        <v>0</v>
      </c>
      <c r="BA66" s="184" t="s">
        <v>356</v>
      </c>
      <c r="BB66" s="1" t="s">
        <v>34</v>
      </c>
      <c r="BK66" s="167"/>
      <c r="BU66" s="167"/>
      <c r="CE66" s="167"/>
    </row>
    <row r="67" spans="1:93">
      <c r="A67" s="4">
        <v>66</v>
      </c>
      <c r="B67" s="171">
        <v>36983</v>
      </c>
      <c r="C67" s="173" t="s">
        <v>138</v>
      </c>
      <c r="D67" s="1" t="s">
        <v>418</v>
      </c>
      <c r="E67" s="1">
        <f t="shared" ca="1" si="4"/>
        <v>24</v>
      </c>
      <c r="F67" s="1">
        <f t="shared" si="5"/>
        <v>17</v>
      </c>
      <c r="G67" s="1" t="s">
        <v>8</v>
      </c>
      <c r="H67" s="1" t="s">
        <v>12</v>
      </c>
      <c r="I67" s="1" t="s">
        <v>14</v>
      </c>
      <c r="J67" s="1">
        <v>175</v>
      </c>
      <c r="K67" s="1">
        <v>59</v>
      </c>
      <c r="M67" s="1">
        <v>0</v>
      </c>
      <c r="N67" s="1">
        <v>0</v>
      </c>
      <c r="O67" s="1">
        <v>0</v>
      </c>
      <c r="P67" s="1">
        <v>109</v>
      </c>
      <c r="Q67" s="1">
        <v>100</v>
      </c>
      <c r="R67" s="1">
        <v>320</v>
      </c>
      <c r="S67" s="1">
        <v>19</v>
      </c>
      <c r="V67" s="1">
        <v>37</v>
      </c>
      <c r="W67" s="1">
        <v>13201</v>
      </c>
      <c r="X67" s="1">
        <v>1</v>
      </c>
      <c r="Y67" s="1">
        <v>23</v>
      </c>
      <c r="Z67" s="1">
        <v>0</v>
      </c>
      <c r="AA67" s="1">
        <v>0</v>
      </c>
      <c r="AB67" s="166"/>
      <c r="AC67" s="1" t="s">
        <v>83</v>
      </c>
      <c r="AF67" s="167" t="s">
        <v>83</v>
      </c>
      <c r="AG67" s="166"/>
      <c r="AH67" s="1" t="s">
        <v>69</v>
      </c>
      <c r="AK67" s="167"/>
      <c r="AL67" s="1" t="s">
        <v>440</v>
      </c>
      <c r="AM67" s="1" t="s">
        <v>84</v>
      </c>
      <c r="AN67" s="1" t="s">
        <v>437</v>
      </c>
      <c r="AO67" s="1" t="s">
        <v>437</v>
      </c>
      <c r="AP67" s="1" t="s">
        <v>437</v>
      </c>
      <c r="AQ67" s="1" t="s">
        <v>437</v>
      </c>
      <c r="AR67" s="1" t="s">
        <v>437</v>
      </c>
      <c r="AS67" s="1" t="s">
        <v>437</v>
      </c>
      <c r="AT67" s="1" t="s">
        <v>437</v>
      </c>
      <c r="AU67" s="1" t="s">
        <v>437</v>
      </c>
      <c r="AV67" s="168">
        <v>43290</v>
      </c>
      <c r="AW67" s="1">
        <f t="shared" ref="AW67:AW130" ca="1" si="6">DATEDIF(AV67,TODAY(),"Y")</f>
        <v>7</v>
      </c>
      <c r="AX67" s="1" t="s">
        <v>445</v>
      </c>
      <c r="AY67" s="1">
        <v>5.15</v>
      </c>
      <c r="BA67" s="184" t="s">
        <v>356</v>
      </c>
      <c r="BB67" s="1" t="s">
        <v>446</v>
      </c>
      <c r="BD67" s="1">
        <v>1</v>
      </c>
      <c r="BK67" s="167"/>
      <c r="BL67" s="1" t="s">
        <v>447</v>
      </c>
      <c r="BM67" s="1" t="s">
        <v>480</v>
      </c>
      <c r="BN67" s="1" t="s">
        <v>482</v>
      </c>
      <c r="BO67" s="1">
        <v>1</v>
      </c>
      <c r="BR67" s="1">
        <v>1</v>
      </c>
      <c r="BU67" s="167"/>
      <c r="BV67" s="1" t="s">
        <v>446</v>
      </c>
      <c r="CE67" s="167"/>
    </row>
    <row r="68" spans="1:93">
      <c r="A68" s="4">
        <v>67</v>
      </c>
      <c r="B68" s="172">
        <v>39736</v>
      </c>
      <c r="C68" s="173" t="s">
        <v>138</v>
      </c>
      <c r="D68" s="175" t="s">
        <v>418</v>
      </c>
      <c r="E68" s="1">
        <f t="shared" ca="1" si="4"/>
        <v>16</v>
      </c>
      <c r="F68" s="1">
        <f t="shared" si="5"/>
        <v>15</v>
      </c>
      <c r="G68" s="1" t="s">
        <v>8</v>
      </c>
      <c r="H68" s="1" t="s">
        <v>12</v>
      </c>
      <c r="I68" s="1" t="s">
        <v>12</v>
      </c>
      <c r="K68" s="1">
        <v>63</v>
      </c>
      <c r="M68" s="1">
        <v>0</v>
      </c>
      <c r="N68" s="1">
        <v>0</v>
      </c>
      <c r="O68" s="1">
        <v>0</v>
      </c>
      <c r="P68" s="1">
        <v>26</v>
      </c>
      <c r="Q68" s="1">
        <v>21</v>
      </c>
      <c r="R68" s="1">
        <v>41</v>
      </c>
      <c r="T68" s="1">
        <v>68</v>
      </c>
      <c r="U68" s="1">
        <v>231</v>
      </c>
      <c r="Y68" s="1">
        <v>1270</v>
      </c>
      <c r="Z68" s="1">
        <v>0</v>
      </c>
      <c r="AA68" s="1">
        <v>0</v>
      </c>
      <c r="AB68" s="166"/>
      <c r="AD68" s="1">
        <v>0.3</v>
      </c>
      <c r="AF68" s="167"/>
      <c r="AG68" s="166"/>
      <c r="AK68" s="167"/>
      <c r="AL68" s="1" t="s">
        <v>437</v>
      </c>
      <c r="AV68" s="168">
        <v>45560</v>
      </c>
      <c r="AW68" s="1">
        <f t="shared" ca="1" si="6"/>
        <v>0</v>
      </c>
      <c r="AX68" s="1" t="s">
        <v>445</v>
      </c>
      <c r="AY68" s="1">
        <v>0</v>
      </c>
      <c r="BA68" s="184" t="s">
        <v>34</v>
      </c>
      <c r="BB68" s="1" t="s">
        <v>34</v>
      </c>
      <c r="BK68" s="167"/>
      <c r="BU68" s="167"/>
      <c r="CE68" s="167"/>
    </row>
    <row r="69" spans="1:93">
      <c r="A69" s="4">
        <v>68</v>
      </c>
      <c r="B69" s="171">
        <v>32092</v>
      </c>
      <c r="C69" s="173" t="s">
        <v>138</v>
      </c>
      <c r="D69" s="1" t="s">
        <v>170</v>
      </c>
      <c r="E69" s="1">
        <f t="shared" ca="1" si="4"/>
        <v>37</v>
      </c>
      <c r="F69" s="1">
        <f t="shared" si="5"/>
        <v>35</v>
      </c>
      <c r="G69" s="1" t="s">
        <v>419</v>
      </c>
      <c r="H69" s="1" t="s">
        <v>12</v>
      </c>
      <c r="I69" s="1" t="s">
        <v>12</v>
      </c>
      <c r="M69" s="1">
        <v>0</v>
      </c>
      <c r="N69" s="1">
        <v>0</v>
      </c>
      <c r="O69" s="1">
        <v>0</v>
      </c>
      <c r="P69" s="1">
        <v>46</v>
      </c>
      <c r="Q69" s="1">
        <v>37</v>
      </c>
      <c r="R69" s="1">
        <v>18</v>
      </c>
      <c r="S69" s="1">
        <v>17</v>
      </c>
      <c r="T69" s="1">
        <v>63</v>
      </c>
      <c r="U69" s="1">
        <v>63</v>
      </c>
      <c r="V69" s="1">
        <v>32</v>
      </c>
      <c r="W69" s="1">
        <v>12853</v>
      </c>
      <c r="X69" s="1">
        <v>0</v>
      </c>
      <c r="Y69" s="1">
        <v>0</v>
      </c>
      <c r="Z69" s="1">
        <v>0</v>
      </c>
      <c r="AA69" s="1">
        <v>0</v>
      </c>
      <c r="AB69" s="166"/>
      <c r="AF69" s="167"/>
      <c r="AG69" s="166"/>
      <c r="AK69" s="167"/>
      <c r="AL69" s="1" t="s">
        <v>438</v>
      </c>
      <c r="AV69" s="168">
        <v>44938</v>
      </c>
      <c r="AW69" s="1">
        <f t="shared" ca="1" si="6"/>
        <v>2</v>
      </c>
      <c r="AX69" s="1" t="s">
        <v>445</v>
      </c>
      <c r="AY69" s="1">
        <v>4.5999999999999996</v>
      </c>
      <c r="BA69" s="184" t="s">
        <v>356</v>
      </c>
      <c r="BB69" s="1" t="s">
        <v>446</v>
      </c>
      <c r="BU69" s="167"/>
      <c r="CE69" s="167"/>
      <c r="CG69" s="1">
        <v>1</v>
      </c>
    </row>
    <row r="70" spans="1:93">
      <c r="A70" s="4">
        <v>69</v>
      </c>
      <c r="B70" s="172">
        <v>26691</v>
      </c>
      <c r="C70" s="173" t="s">
        <v>138</v>
      </c>
      <c r="D70" s="175" t="s">
        <v>418</v>
      </c>
      <c r="E70" s="1">
        <f t="shared" ca="1" si="4"/>
        <v>52</v>
      </c>
      <c r="F70" s="1">
        <f t="shared" si="5"/>
        <v>50</v>
      </c>
      <c r="G70" s="1" t="s">
        <v>8</v>
      </c>
      <c r="H70" s="1" t="s">
        <v>12</v>
      </c>
      <c r="I70" s="1" t="s">
        <v>12</v>
      </c>
      <c r="J70" s="1">
        <v>176</v>
      </c>
      <c r="K70" s="1">
        <v>91</v>
      </c>
      <c r="M70" s="1">
        <v>0</v>
      </c>
      <c r="N70" s="1">
        <v>0</v>
      </c>
      <c r="O70" s="1">
        <v>0</v>
      </c>
      <c r="Z70" s="1">
        <v>0</v>
      </c>
      <c r="AA70" s="1">
        <v>0</v>
      </c>
      <c r="AB70" s="166"/>
      <c r="AC70" s="1" t="s">
        <v>128</v>
      </c>
      <c r="AF70" s="167"/>
      <c r="AG70" s="166"/>
      <c r="AH70" s="1" t="s">
        <v>128</v>
      </c>
      <c r="AK70" s="167"/>
      <c r="AL70" s="1" t="s">
        <v>437</v>
      </c>
      <c r="AV70" s="168">
        <v>45021</v>
      </c>
      <c r="AW70" s="1">
        <f t="shared" ca="1" si="6"/>
        <v>2</v>
      </c>
      <c r="AX70" s="1" t="s">
        <v>445</v>
      </c>
      <c r="AY70" s="1">
        <v>3.45</v>
      </c>
      <c r="BA70" s="184" t="s">
        <v>356</v>
      </c>
      <c r="BB70" s="1" t="s">
        <v>448</v>
      </c>
      <c r="BC70" s="1" t="s">
        <v>480</v>
      </c>
      <c r="BE70" s="1">
        <v>1</v>
      </c>
      <c r="BK70" s="167" t="s">
        <v>467</v>
      </c>
      <c r="BL70" s="1" t="s">
        <v>446</v>
      </c>
      <c r="BM70" s="1" t="s">
        <v>480</v>
      </c>
      <c r="BN70" s="1" t="s">
        <v>483</v>
      </c>
      <c r="BU70" s="167"/>
      <c r="BV70" s="1" t="s">
        <v>447</v>
      </c>
      <c r="BW70" s="1" t="s">
        <v>480</v>
      </c>
      <c r="BX70" s="1" t="s">
        <v>483</v>
      </c>
      <c r="CE70" s="167"/>
    </row>
    <row r="71" spans="1:93">
      <c r="A71" s="4">
        <v>70</v>
      </c>
      <c r="B71" s="172">
        <v>22089</v>
      </c>
      <c r="C71" s="173" t="s">
        <v>138</v>
      </c>
      <c r="D71" s="175" t="s">
        <v>418</v>
      </c>
      <c r="E71" s="1">
        <f t="shared" ca="1" si="4"/>
        <v>65</v>
      </c>
      <c r="F71" s="1">
        <f t="shared" si="5"/>
        <v>62</v>
      </c>
      <c r="G71" s="1" t="s">
        <v>6</v>
      </c>
      <c r="H71" s="1" t="s">
        <v>14</v>
      </c>
      <c r="I71" s="1" t="s">
        <v>13</v>
      </c>
      <c r="J71" s="1">
        <v>183</v>
      </c>
      <c r="K71" s="1">
        <v>87</v>
      </c>
      <c r="M71" s="1">
        <v>0</v>
      </c>
      <c r="N71" s="1">
        <v>0</v>
      </c>
      <c r="O71" s="1">
        <v>0</v>
      </c>
      <c r="P71" s="1">
        <v>60</v>
      </c>
      <c r="Q71" s="1">
        <v>50</v>
      </c>
      <c r="R71" s="1">
        <v>39</v>
      </c>
      <c r="S71" s="1">
        <v>50</v>
      </c>
      <c r="U71" s="1">
        <v>145</v>
      </c>
      <c r="Z71" s="1">
        <v>0</v>
      </c>
      <c r="AA71" s="1">
        <v>0</v>
      </c>
      <c r="AF71" s="167"/>
      <c r="AG71" s="166"/>
      <c r="AK71" s="167"/>
      <c r="AL71" s="1" t="s">
        <v>438</v>
      </c>
      <c r="AM71" s="1" t="s">
        <v>186</v>
      </c>
      <c r="AP71" s="1" t="s">
        <v>438</v>
      </c>
      <c r="AQ71" s="1" t="s">
        <v>438</v>
      </c>
      <c r="AS71" s="1" t="s">
        <v>438</v>
      </c>
      <c r="AV71" s="168">
        <v>45037</v>
      </c>
      <c r="AW71" s="1">
        <f t="shared" ca="1" si="6"/>
        <v>2</v>
      </c>
      <c r="AX71" s="1" t="s">
        <v>444</v>
      </c>
      <c r="AY71" s="1">
        <v>0</v>
      </c>
      <c r="AZ71" s="1">
        <v>1</v>
      </c>
      <c r="BA71" s="184"/>
      <c r="BK71" s="167"/>
      <c r="BU71" s="167"/>
      <c r="CE71" s="167"/>
    </row>
    <row r="72" spans="1:93">
      <c r="A72" s="4">
        <v>71</v>
      </c>
      <c r="B72" s="172">
        <v>33315</v>
      </c>
      <c r="C72" s="173" t="s">
        <v>138</v>
      </c>
      <c r="D72" s="175" t="s">
        <v>170</v>
      </c>
      <c r="E72" s="1">
        <f t="shared" ca="1" si="4"/>
        <v>34</v>
      </c>
      <c r="F72" s="1">
        <f t="shared" si="5"/>
        <v>31</v>
      </c>
      <c r="G72" s="1" t="s">
        <v>8</v>
      </c>
      <c r="H72" s="1" t="s">
        <v>12</v>
      </c>
      <c r="I72" s="1" t="s">
        <v>12</v>
      </c>
      <c r="J72" s="1">
        <v>160</v>
      </c>
      <c r="K72" s="1">
        <v>63</v>
      </c>
      <c r="M72" s="1">
        <v>0</v>
      </c>
      <c r="N72" s="1">
        <v>0</v>
      </c>
      <c r="O72" s="1">
        <v>0</v>
      </c>
      <c r="P72" s="1">
        <v>18</v>
      </c>
      <c r="Q72" s="1">
        <v>20</v>
      </c>
      <c r="R72" s="1">
        <v>20</v>
      </c>
      <c r="T72" s="1">
        <v>93</v>
      </c>
      <c r="U72" s="1">
        <v>219</v>
      </c>
      <c r="V72" s="1">
        <v>40</v>
      </c>
      <c r="X72" s="1">
        <v>0</v>
      </c>
      <c r="Y72" s="1">
        <v>98</v>
      </c>
      <c r="Z72" s="1">
        <v>0</v>
      </c>
      <c r="AA72" s="1">
        <v>0</v>
      </c>
      <c r="AB72" s="166"/>
      <c r="AC72" s="1" t="s">
        <v>110</v>
      </c>
      <c r="AD72" s="1">
        <v>0.05</v>
      </c>
      <c r="AF72" s="167">
        <v>0.71</v>
      </c>
      <c r="AG72" s="166"/>
      <c r="AK72" s="167"/>
      <c r="AL72" s="1" t="s">
        <v>437</v>
      </c>
      <c r="AV72" s="168">
        <v>44927</v>
      </c>
      <c r="AW72" s="1">
        <f t="shared" ca="1" si="6"/>
        <v>2</v>
      </c>
      <c r="AX72" s="1" t="s">
        <v>445</v>
      </c>
      <c r="AY72" s="1">
        <v>0</v>
      </c>
      <c r="BA72" s="184" t="s">
        <v>356</v>
      </c>
      <c r="BB72" s="1" t="s">
        <v>34</v>
      </c>
      <c r="BK72" s="167"/>
      <c r="CE72" s="167"/>
      <c r="CI72" s="15" t="s">
        <v>171</v>
      </c>
    </row>
    <row r="73" spans="1:93">
      <c r="A73" s="4">
        <v>72</v>
      </c>
      <c r="B73" s="172">
        <v>30797</v>
      </c>
      <c r="C73" s="173" t="s">
        <v>138</v>
      </c>
      <c r="D73" s="175" t="s">
        <v>418</v>
      </c>
      <c r="E73" s="1">
        <f t="shared" ca="1" si="4"/>
        <v>41</v>
      </c>
      <c r="F73" s="1">
        <f t="shared" si="5"/>
        <v>36</v>
      </c>
      <c r="G73" s="1" t="s">
        <v>8</v>
      </c>
      <c r="H73" s="1" t="s">
        <v>12</v>
      </c>
      <c r="I73" s="1" t="s">
        <v>12</v>
      </c>
      <c r="J73" s="1">
        <v>172</v>
      </c>
      <c r="K73" s="1">
        <v>85</v>
      </c>
      <c r="M73" s="1">
        <v>1</v>
      </c>
      <c r="N73" s="1">
        <v>0</v>
      </c>
      <c r="O73" s="1">
        <v>0</v>
      </c>
      <c r="P73" s="1">
        <v>57</v>
      </c>
      <c r="Q73" s="1">
        <v>42</v>
      </c>
      <c r="R73" s="1">
        <v>58</v>
      </c>
      <c r="S73" s="1">
        <v>8</v>
      </c>
      <c r="T73" s="1">
        <v>100</v>
      </c>
      <c r="U73" s="1">
        <v>277</v>
      </c>
      <c r="V73" s="1">
        <v>48</v>
      </c>
      <c r="W73" s="1">
        <v>406</v>
      </c>
      <c r="X73" s="1">
        <v>0</v>
      </c>
      <c r="Z73" s="1">
        <v>0</v>
      </c>
      <c r="AA73" s="1">
        <v>0</v>
      </c>
      <c r="AC73" s="1" t="s">
        <v>110</v>
      </c>
      <c r="AD73" s="1" t="s">
        <v>110</v>
      </c>
      <c r="AF73" s="167"/>
      <c r="AK73" s="167"/>
      <c r="AL73" s="1" t="s">
        <v>437</v>
      </c>
      <c r="AV73" s="168">
        <v>44181</v>
      </c>
      <c r="AW73" s="1">
        <f t="shared" ca="1" si="6"/>
        <v>4</v>
      </c>
      <c r="AX73" s="1" t="s">
        <v>445</v>
      </c>
      <c r="AY73" s="1">
        <v>0</v>
      </c>
      <c r="BA73" s="184" t="s">
        <v>356</v>
      </c>
      <c r="BB73" s="1" t="s">
        <v>34</v>
      </c>
      <c r="BK73" s="167"/>
      <c r="BU73" s="167"/>
      <c r="CE73" s="167"/>
    </row>
    <row r="74" spans="1:93">
      <c r="A74" s="4">
        <v>73</v>
      </c>
      <c r="B74" s="172">
        <v>30576</v>
      </c>
      <c r="C74" s="173" t="s">
        <v>138</v>
      </c>
      <c r="D74" s="175" t="s">
        <v>418</v>
      </c>
      <c r="E74" s="1">
        <f t="shared" ca="1" si="4"/>
        <v>41</v>
      </c>
      <c r="F74" s="1">
        <f t="shared" si="5"/>
        <v>29</v>
      </c>
      <c r="G74" s="1" t="s">
        <v>8</v>
      </c>
      <c r="H74" s="1" t="s">
        <v>12</v>
      </c>
      <c r="I74" s="1" t="s">
        <v>12</v>
      </c>
      <c r="M74" s="1">
        <v>0</v>
      </c>
      <c r="N74" s="1">
        <v>0</v>
      </c>
      <c r="O74" s="1">
        <v>0</v>
      </c>
      <c r="P74" s="1">
        <v>31</v>
      </c>
      <c r="Q74" s="1">
        <v>41</v>
      </c>
      <c r="R74" s="1">
        <v>28</v>
      </c>
      <c r="S74" s="1">
        <v>8</v>
      </c>
      <c r="T74" s="1">
        <v>72</v>
      </c>
      <c r="U74" s="1">
        <v>177</v>
      </c>
      <c r="X74" s="1">
        <v>0</v>
      </c>
      <c r="Y74" s="1">
        <v>7063</v>
      </c>
      <c r="Z74" s="1">
        <v>1</v>
      </c>
      <c r="AA74" s="1">
        <v>0</v>
      </c>
      <c r="AC74" s="1" t="s">
        <v>110</v>
      </c>
      <c r="AF74" s="167"/>
      <c r="AG74" s="1" t="s">
        <v>110</v>
      </c>
      <c r="AH74" s="1" t="s">
        <v>110</v>
      </c>
      <c r="AK74" s="167"/>
      <c r="AL74" s="1" t="s">
        <v>437</v>
      </c>
      <c r="AV74" s="168">
        <v>41334</v>
      </c>
      <c r="AW74" s="1">
        <f t="shared" ca="1" si="6"/>
        <v>12</v>
      </c>
      <c r="AX74" s="1" t="s">
        <v>445</v>
      </c>
      <c r="AY74" s="1">
        <v>5.04</v>
      </c>
      <c r="BA74" s="184" t="s">
        <v>356</v>
      </c>
      <c r="BB74" s="1" t="s">
        <v>448</v>
      </c>
      <c r="BC74" s="1" t="s">
        <v>480</v>
      </c>
      <c r="BE74" s="1">
        <v>1</v>
      </c>
      <c r="BH74" s="1">
        <v>1</v>
      </c>
      <c r="BI74" s="1">
        <v>1</v>
      </c>
      <c r="BK74" s="167" t="s">
        <v>465</v>
      </c>
      <c r="BU74" s="167"/>
      <c r="CE74" s="167"/>
      <c r="CI74" s="15" t="s">
        <v>172</v>
      </c>
    </row>
    <row r="75" spans="1:93">
      <c r="A75" s="4">
        <v>74</v>
      </c>
      <c r="B75" s="172">
        <v>31726</v>
      </c>
      <c r="C75" s="173" t="s">
        <v>138</v>
      </c>
      <c r="D75" s="175" t="s">
        <v>170</v>
      </c>
      <c r="E75" s="1">
        <f t="shared" ca="1" si="4"/>
        <v>38</v>
      </c>
      <c r="F75" s="1">
        <f t="shared" si="5"/>
        <v>26</v>
      </c>
      <c r="G75" s="1" t="s">
        <v>8</v>
      </c>
      <c r="H75" s="1" t="s">
        <v>12</v>
      </c>
      <c r="I75" s="1" t="s">
        <v>12</v>
      </c>
      <c r="M75" s="1">
        <v>0</v>
      </c>
      <c r="N75" s="1">
        <v>0</v>
      </c>
      <c r="O75" s="1">
        <v>0</v>
      </c>
      <c r="P75" s="1">
        <v>37</v>
      </c>
      <c r="Q75" s="1">
        <v>31</v>
      </c>
      <c r="R75" s="1">
        <v>75</v>
      </c>
      <c r="S75" s="1">
        <v>5</v>
      </c>
      <c r="T75" s="1">
        <v>93</v>
      </c>
      <c r="Z75" s="1">
        <v>0</v>
      </c>
      <c r="AA75" s="1">
        <v>1</v>
      </c>
      <c r="AC75" s="1" t="s">
        <v>110</v>
      </c>
      <c r="AD75" s="1" t="s">
        <v>110</v>
      </c>
      <c r="AF75" s="167"/>
      <c r="AK75" s="167"/>
      <c r="AL75" s="1" t="s">
        <v>437</v>
      </c>
      <c r="AV75" s="168">
        <v>41488</v>
      </c>
      <c r="AW75" s="1">
        <f t="shared" ca="1" si="6"/>
        <v>11</v>
      </c>
      <c r="AX75" s="1" t="s">
        <v>445</v>
      </c>
      <c r="AY75" s="1">
        <v>7.63</v>
      </c>
      <c r="BA75" s="184" t="s">
        <v>356</v>
      </c>
      <c r="BB75" s="1" t="s">
        <v>448</v>
      </c>
      <c r="BD75" s="1">
        <v>1</v>
      </c>
      <c r="BE75" s="1">
        <v>1</v>
      </c>
      <c r="BK75" s="167" t="s">
        <v>467</v>
      </c>
      <c r="BU75" s="167"/>
      <c r="CE75" s="167"/>
      <c r="CG75" s="1">
        <v>1</v>
      </c>
      <c r="CI75" s="15" t="s">
        <v>173</v>
      </c>
    </row>
    <row r="76" spans="1:93" ht="28.8">
      <c r="A76" s="4">
        <v>75</v>
      </c>
      <c r="B76" s="172">
        <v>25357</v>
      </c>
      <c r="C76" s="173" t="s">
        <v>138</v>
      </c>
      <c r="D76" s="175" t="s">
        <v>418</v>
      </c>
      <c r="E76" s="1">
        <f t="shared" ca="1" si="4"/>
        <v>56</v>
      </c>
      <c r="F76" s="1">
        <f t="shared" si="5"/>
        <v>41</v>
      </c>
      <c r="G76" s="1" t="s">
        <v>5</v>
      </c>
      <c r="H76" s="1" t="s">
        <v>14</v>
      </c>
      <c r="I76" s="1" t="s">
        <v>12</v>
      </c>
      <c r="J76" s="1">
        <v>102</v>
      </c>
      <c r="K76" s="1">
        <v>177</v>
      </c>
      <c r="M76" s="1">
        <v>1</v>
      </c>
      <c r="N76" s="1">
        <v>1</v>
      </c>
      <c r="O76" s="1">
        <v>1</v>
      </c>
      <c r="Z76" s="1">
        <v>0</v>
      </c>
      <c r="AA76" s="1">
        <v>0</v>
      </c>
      <c r="AC76" s="1" t="s">
        <v>83</v>
      </c>
      <c r="AD76" s="1" t="s">
        <v>128</v>
      </c>
      <c r="AF76" s="167">
        <v>2.08</v>
      </c>
      <c r="AK76" s="167"/>
      <c r="AL76" s="1" t="s">
        <v>439</v>
      </c>
      <c r="AV76" s="168">
        <v>40544</v>
      </c>
      <c r="AW76" s="1">
        <f t="shared" ca="1" si="6"/>
        <v>14</v>
      </c>
      <c r="AX76" s="1" t="s">
        <v>63</v>
      </c>
      <c r="AY76" s="1" t="s">
        <v>358</v>
      </c>
      <c r="BA76" s="184" t="s">
        <v>356</v>
      </c>
      <c r="BB76" s="1" t="s">
        <v>448</v>
      </c>
      <c r="BK76" s="167"/>
      <c r="BU76" s="167"/>
      <c r="CE76" s="167"/>
      <c r="CI76" s="15" t="s">
        <v>174</v>
      </c>
    </row>
    <row r="77" spans="1:93" ht="28.8">
      <c r="A77" s="4">
        <v>76</v>
      </c>
      <c r="B77" s="172">
        <v>32871</v>
      </c>
      <c r="C77" s="173" t="s">
        <v>138</v>
      </c>
      <c r="D77" s="175" t="s">
        <v>418</v>
      </c>
      <c r="E77" s="1">
        <f t="shared" ca="1" si="4"/>
        <v>35</v>
      </c>
      <c r="F77" s="1">
        <f t="shared" si="5"/>
        <v>34</v>
      </c>
      <c r="G77" s="1" t="s">
        <v>5</v>
      </c>
      <c r="H77" s="1" t="s">
        <v>14</v>
      </c>
      <c r="I77" s="1" t="s">
        <v>14</v>
      </c>
      <c r="J77" s="1">
        <v>170</v>
      </c>
      <c r="K77" s="1">
        <v>61</v>
      </c>
      <c r="M77" s="1">
        <v>0</v>
      </c>
      <c r="N77" s="1">
        <v>0</v>
      </c>
      <c r="O77" s="1">
        <v>0</v>
      </c>
      <c r="P77" s="1">
        <v>32</v>
      </c>
      <c r="Q77" s="1">
        <v>29</v>
      </c>
      <c r="R77" s="1">
        <v>21</v>
      </c>
      <c r="S77" s="1">
        <v>9</v>
      </c>
      <c r="T77" s="1">
        <v>95</v>
      </c>
      <c r="U77" s="1">
        <v>195</v>
      </c>
      <c r="W77" s="1">
        <v>1332</v>
      </c>
      <c r="X77" s="1">
        <v>0</v>
      </c>
      <c r="Z77" s="1">
        <v>0</v>
      </c>
      <c r="AA77" s="1">
        <v>0</v>
      </c>
      <c r="AC77" s="1" t="s">
        <v>110</v>
      </c>
      <c r="AF77" s="167"/>
      <c r="AK77" s="167"/>
      <c r="AL77" s="1" t="s">
        <v>437</v>
      </c>
      <c r="AV77" s="168">
        <v>45311</v>
      </c>
      <c r="AW77" s="1">
        <f t="shared" ca="1" si="6"/>
        <v>1</v>
      </c>
      <c r="AX77" s="1" t="s">
        <v>63</v>
      </c>
      <c r="AY77" s="1">
        <v>0</v>
      </c>
      <c r="AZ77" s="1">
        <v>1</v>
      </c>
      <c r="BA77" s="184" t="s">
        <v>356</v>
      </c>
      <c r="BB77" s="1" t="s">
        <v>34</v>
      </c>
      <c r="BK77" s="167"/>
      <c r="BU77" s="167"/>
      <c r="CE77" s="167"/>
      <c r="CI77" s="15" t="s">
        <v>175</v>
      </c>
    </row>
    <row r="78" spans="1:93" ht="28.8">
      <c r="A78" s="4">
        <v>77</v>
      </c>
      <c r="B78" s="172">
        <v>33463</v>
      </c>
      <c r="C78" s="173" t="s">
        <v>138</v>
      </c>
      <c r="D78" s="175" t="s">
        <v>418</v>
      </c>
      <c r="E78" s="1">
        <f t="shared" ca="1" si="4"/>
        <v>33</v>
      </c>
      <c r="F78" s="1">
        <f t="shared" si="5"/>
        <v>24</v>
      </c>
      <c r="G78" s="1" t="s">
        <v>6</v>
      </c>
      <c r="H78" s="1" t="s">
        <v>14</v>
      </c>
      <c r="I78" s="1" t="s">
        <v>14</v>
      </c>
      <c r="J78" s="1">
        <v>173</v>
      </c>
      <c r="K78" s="1">
        <v>71</v>
      </c>
      <c r="M78" s="1">
        <v>0</v>
      </c>
      <c r="N78" s="1">
        <v>0</v>
      </c>
      <c r="O78" s="1">
        <v>0</v>
      </c>
      <c r="P78" s="1">
        <v>105</v>
      </c>
      <c r="Q78" s="1">
        <v>130</v>
      </c>
      <c r="R78" s="1">
        <v>100</v>
      </c>
      <c r="S78" s="1">
        <v>41</v>
      </c>
      <c r="T78" s="1">
        <v>72</v>
      </c>
      <c r="U78" s="1">
        <v>104</v>
      </c>
      <c r="V78" s="1">
        <v>31</v>
      </c>
      <c r="Z78" s="1">
        <v>0</v>
      </c>
      <c r="AA78" s="1">
        <v>0</v>
      </c>
      <c r="AB78" s="1" t="s">
        <v>83</v>
      </c>
      <c r="AF78" s="167"/>
      <c r="AK78" s="167"/>
      <c r="AL78" s="1" t="s">
        <v>438</v>
      </c>
      <c r="AM78" s="1" t="s">
        <v>88</v>
      </c>
      <c r="AN78" s="1" t="s">
        <v>438</v>
      </c>
      <c r="AO78" s="1" t="s">
        <v>437</v>
      </c>
      <c r="AP78" s="1" t="s">
        <v>437</v>
      </c>
      <c r="AQ78" s="1" t="s">
        <v>438</v>
      </c>
      <c r="AR78" s="1" t="s">
        <v>437</v>
      </c>
      <c r="AS78" s="1" t="s">
        <v>437</v>
      </c>
      <c r="AT78" s="1" t="s">
        <v>440</v>
      </c>
      <c r="AU78" s="1" t="s">
        <v>437</v>
      </c>
      <c r="AV78" s="168">
        <v>42370</v>
      </c>
      <c r="AW78" s="1">
        <f t="shared" ca="1" si="6"/>
        <v>9</v>
      </c>
      <c r="AX78" s="1" t="s">
        <v>63</v>
      </c>
      <c r="AY78" s="1">
        <v>7.27</v>
      </c>
      <c r="BA78" s="184" t="s">
        <v>356</v>
      </c>
      <c r="BB78" s="1" t="s">
        <v>34</v>
      </c>
      <c r="BK78" s="167"/>
      <c r="BU78" s="167"/>
      <c r="CE78" s="167"/>
      <c r="CI78" s="15" t="s">
        <v>176</v>
      </c>
    </row>
    <row r="79" spans="1:93">
      <c r="A79" s="4">
        <v>78</v>
      </c>
      <c r="B79" s="172">
        <v>29810</v>
      </c>
      <c r="C79" s="173" t="s">
        <v>138</v>
      </c>
      <c r="D79" s="175" t="s">
        <v>418</v>
      </c>
      <c r="E79" s="1">
        <f t="shared" ca="1" si="4"/>
        <v>43</v>
      </c>
      <c r="F79" s="1">
        <f t="shared" si="5"/>
        <v>37</v>
      </c>
      <c r="G79" s="1" t="s">
        <v>419</v>
      </c>
      <c r="H79" s="1" t="s">
        <v>12</v>
      </c>
      <c r="I79" s="1" t="s">
        <v>12</v>
      </c>
      <c r="M79" s="1">
        <v>0</v>
      </c>
      <c r="N79" s="1">
        <v>0</v>
      </c>
      <c r="O79" s="1">
        <v>0</v>
      </c>
      <c r="P79" s="1">
        <v>47</v>
      </c>
      <c r="Q79" s="1">
        <v>80</v>
      </c>
      <c r="R79" s="1">
        <v>133</v>
      </c>
      <c r="U79" s="1">
        <v>228</v>
      </c>
      <c r="X79" s="1">
        <v>0</v>
      </c>
      <c r="Y79" s="1">
        <v>37</v>
      </c>
      <c r="Z79" s="1">
        <v>1</v>
      </c>
      <c r="AA79" s="1">
        <v>0</v>
      </c>
      <c r="AC79" s="1" t="s">
        <v>83</v>
      </c>
      <c r="AD79" s="1" t="s">
        <v>91</v>
      </c>
      <c r="AF79" s="167"/>
      <c r="AK79" s="167"/>
      <c r="AL79" s="1" t="s">
        <v>437</v>
      </c>
      <c r="AV79" s="168">
        <v>43556</v>
      </c>
      <c r="AW79" s="1">
        <f t="shared" ca="1" si="6"/>
        <v>6</v>
      </c>
      <c r="AX79" s="1" t="s">
        <v>445</v>
      </c>
      <c r="AY79" s="1">
        <v>6.15</v>
      </c>
      <c r="BA79" s="184" t="s">
        <v>34</v>
      </c>
      <c r="BB79" s="1" t="s">
        <v>34</v>
      </c>
      <c r="BK79" s="167"/>
      <c r="BU79" s="167"/>
      <c r="CE79" s="167"/>
      <c r="CF79" s="1" t="s">
        <v>313</v>
      </c>
      <c r="CG79" s="1">
        <v>1</v>
      </c>
      <c r="CI79" s="15" t="s">
        <v>396</v>
      </c>
    </row>
    <row r="80" spans="1:93">
      <c r="A80" s="4">
        <v>79</v>
      </c>
      <c r="B80" s="172">
        <v>25146</v>
      </c>
      <c r="C80" s="173" t="s">
        <v>138</v>
      </c>
      <c r="D80" s="175" t="s">
        <v>170</v>
      </c>
      <c r="E80" s="1">
        <f t="shared" ca="1" si="4"/>
        <v>56</v>
      </c>
      <c r="F80" s="1">
        <f t="shared" si="5"/>
        <v>53</v>
      </c>
      <c r="G80" s="1" t="s">
        <v>11</v>
      </c>
      <c r="H80" s="1" t="s">
        <v>13</v>
      </c>
      <c r="I80" s="1" t="s">
        <v>14</v>
      </c>
      <c r="J80" s="1">
        <v>158</v>
      </c>
      <c r="K80" s="1">
        <v>88</v>
      </c>
      <c r="M80" s="1">
        <v>1</v>
      </c>
      <c r="N80" s="1">
        <v>0</v>
      </c>
      <c r="O80" s="1">
        <v>0</v>
      </c>
      <c r="P80" s="1">
        <v>26</v>
      </c>
      <c r="Q80" s="1">
        <v>32</v>
      </c>
      <c r="R80" s="1">
        <v>21</v>
      </c>
      <c r="S80" s="1">
        <v>4</v>
      </c>
      <c r="V80" s="1">
        <v>46</v>
      </c>
      <c r="W80" s="1">
        <v>690</v>
      </c>
      <c r="Y80" s="1">
        <v>69</v>
      </c>
      <c r="Z80" s="1">
        <v>0</v>
      </c>
      <c r="AA80" s="1">
        <v>0</v>
      </c>
      <c r="AC80" s="1" t="s">
        <v>91</v>
      </c>
      <c r="AD80" s="1" t="s">
        <v>91</v>
      </c>
      <c r="AF80" s="167">
        <v>0.99</v>
      </c>
      <c r="AK80" s="167"/>
      <c r="AL80" s="1" t="s">
        <v>437</v>
      </c>
      <c r="AV80" s="168">
        <v>44764</v>
      </c>
      <c r="AW80" s="1">
        <f t="shared" ca="1" si="6"/>
        <v>2</v>
      </c>
      <c r="AX80" s="1" t="s">
        <v>63</v>
      </c>
      <c r="AY80" s="1">
        <v>0</v>
      </c>
      <c r="AZ80" s="1">
        <v>1</v>
      </c>
      <c r="BA80" s="184" t="s">
        <v>34</v>
      </c>
      <c r="BB80" s="1" t="s">
        <v>34</v>
      </c>
      <c r="BK80" s="167"/>
      <c r="BU80" s="167"/>
      <c r="CE80" s="167"/>
      <c r="CI80" s="15" t="s">
        <v>177</v>
      </c>
    </row>
    <row r="81" spans="1:87">
      <c r="A81" s="4">
        <v>80</v>
      </c>
      <c r="B81" s="172">
        <v>21245</v>
      </c>
      <c r="C81" s="173" t="s">
        <v>138</v>
      </c>
      <c r="D81" s="175" t="s">
        <v>418</v>
      </c>
      <c r="E81" s="1">
        <f t="shared" ca="1" si="4"/>
        <v>67</v>
      </c>
      <c r="F81" s="1">
        <f t="shared" si="5"/>
        <v>53</v>
      </c>
      <c r="G81" s="1" t="s">
        <v>8</v>
      </c>
      <c r="H81" s="1" t="s">
        <v>12</v>
      </c>
      <c r="I81" s="1" t="s">
        <v>12</v>
      </c>
      <c r="J81" s="1">
        <v>186</v>
      </c>
      <c r="K81" s="1">
        <v>112</v>
      </c>
      <c r="M81" s="1">
        <v>0</v>
      </c>
      <c r="N81" s="1">
        <v>1</v>
      </c>
      <c r="O81" s="1">
        <v>0</v>
      </c>
      <c r="Z81" s="1">
        <v>0</v>
      </c>
      <c r="AA81" s="1">
        <v>0</v>
      </c>
      <c r="AF81" s="167"/>
      <c r="AK81" s="167"/>
      <c r="AL81" s="1" t="s">
        <v>437</v>
      </c>
      <c r="AV81" s="168">
        <v>40889</v>
      </c>
      <c r="AW81" s="1">
        <f t="shared" ca="1" si="6"/>
        <v>13</v>
      </c>
      <c r="AX81" s="1" t="s">
        <v>445</v>
      </c>
      <c r="AY81" s="1">
        <v>0</v>
      </c>
      <c r="BA81" s="184" t="s">
        <v>34</v>
      </c>
      <c r="BB81" s="1" t="s">
        <v>34</v>
      </c>
      <c r="BK81" s="167"/>
      <c r="BU81" s="167"/>
      <c r="CE81" s="167"/>
      <c r="CI81" s="15" t="s">
        <v>178</v>
      </c>
    </row>
    <row r="82" spans="1:87">
      <c r="A82" s="4">
        <v>81</v>
      </c>
      <c r="B82" s="171">
        <v>34713</v>
      </c>
      <c r="C82" s="173" t="s">
        <v>138</v>
      </c>
      <c r="D82" s="1" t="s">
        <v>418</v>
      </c>
      <c r="E82" s="1">
        <f t="shared" ca="1" si="4"/>
        <v>30</v>
      </c>
      <c r="F82" s="1">
        <f t="shared" si="5"/>
        <v>26</v>
      </c>
      <c r="G82" s="1" t="s">
        <v>419</v>
      </c>
      <c r="H82" s="1" t="s">
        <v>14</v>
      </c>
      <c r="I82" s="1" t="s">
        <v>12</v>
      </c>
      <c r="J82" s="1">
        <v>193</v>
      </c>
      <c r="K82" s="1">
        <v>90</v>
      </c>
      <c r="M82" s="1">
        <v>0</v>
      </c>
      <c r="N82" s="1">
        <v>0</v>
      </c>
      <c r="O82" s="1">
        <v>0</v>
      </c>
      <c r="P82" s="1">
        <v>30</v>
      </c>
      <c r="Q82" s="1">
        <v>54</v>
      </c>
      <c r="R82" s="1">
        <v>91</v>
      </c>
      <c r="S82" s="1">
        <v>29</v>
      </c>
      <c r="T82" s="1">
        <v>54</v>
      </c>
      <c r="U82" s="1">
        <v>27</v>
      </c>
      <c r="V82" s="1">
        <v>35</v>
      </c>
      <c r="W82" s="1">
        <v>4812</v>
      </c>
      <c r="X82" s="1">
        <v>0</v>
      </c>
      <c r="Y82" s="1">
        <v>0</v>
      </c>
      <c r="Z82" s="1">
        <v>0</v>
      </c>
      <c r="AA82" s="1">
        <v>0</v>
      </c>
      <c r="AB82" s="166" t="s">
        <v>83</v>
      </c>
      <c r="AF82" s="167"/>
      <c r="AG82" s="166"/>
      <c r="AK82" s="167"/>
      <c r="AL82" s="1" t="s">
        <v>438</v>
      </c>
      <c r="AM82" s="1" t="s">
        <v>88</v>
      </c>
      <c r="AN82" s="1" t="s">
        <v>440</v>
      </c>
      <c r="AO82" s="1" t="s">
        <v>438</v>
      </c>
      <c r="AP82" s="1" t="s">
        <v>437</v>
      </c>
      <c r="AQ82" s="1" t="s">
        <v>437</v>
      </c>
      <c r="AR82" s="1" t="s">
        <v>437</v>
      </c>
      <c r="AS82" s="1" t="s">
        <v>437</v>
      </c>
      <c r="AT82" s="1" t="s">
        <v>437</v>
      </c>
      <c r="AU82" s="1" t="s">
        <v>437</v>
      </c>
      <c r="AV82" s="168">
        <v>44562</v>
      </c>
      <c r="AW82" s="1">
        <f t="shared" ca="1" si="6"/>
        <v>3</v>
      </c>
      <c r="AX82" s="1" t="s">
        <v>445</v>
      </c>
      <c r="AY82" s="1">
        <v>2.31</v>
      </c>
      <c r="BA82" s="184" t="s">
        <v>356</v>
      </c>
      <c r="BB82" s="1" t="s">
        <v>34</v>
      </c>
      <c r="BK82" s="167"/>
      <c r="BU82" s="167"/>
      <c r="CE82" s="167"/>
    </row>
    <row r="83" spans="1:87">
      <c r="A83" s="4">
        <v>82</v>
      </c>
      <c r="B83" s="172">
        <v>23982</v>
      </c>
      <c r="C83" s="173" t="s">
        <v>138</v>
      </c>
      <c r="D83" s="175" t="s">
        <v>418</v>
      </c>
      <c r="E83" s="1">
        <f t="shared" ca="1" si="4"/>
        <v>59</v>
      </c>
      <c r="F83" s="1">
        <f t="shared" si="5"/>
        <v>58</v>
      </c>
      <c r="G83" s="1" t="s">
        <v>8</v>
      </c>
      <c r="H83" s="1" t="s">
        <v>13</v>
      </c>
      <c r="I83" s="1" t="s">
        <v>13</v>
      </c>
      <c r="J83" s="1">
        <v>175</v>
      </c>
      <c r="K83" s="1">
        <v>87</v>
      </c>
      <c r="M83" s="1">
        <v>0</v>
      </c>
      <c r="N83" s="1">
        <v>0</v>
      </c>
      <c r="O83" s="1">
        <v>1</v>
      </c>
      <c r="P83" s="1">
        <v>20</v>
      </c>
      <c r="Q83" s="1">
        <v>20</v>
      </c>
      <c r="R83" s="1">
        <v>80</v>
      </c>
      <c r="S83" s="1">
        <v>8</v>
      </c>
      <c r="T83" s="1">
        <v>100</v>
      </c>
      <c r="U83" s="1">
        <v>206</v>
      </c>
      <c r="W83" s="1">
        <v>2.9</v>
      </c>
      <c r="Y83" s="1">
        <v>0</v>
      </c>
      <c r="Z83" s="1">
        <v>0</v>
      </c>
      <c r="AA83" s="1">
        <v>0</v>
      </c>
      <c r="AC83" s="1" t="s">
        <v>91</v>
      </c>
      <c r="AF83" s="167"/>
      <c r="AK83" s="167"/>
      <c r="AL83" s="1" t="s">
        <v>437</v>
      </c>
      <c r="AV83" s="168">
        <v>45194</v>
      </c>
      <c r="AW83" s="1">
        <f t="shared" ca="1" si="6"/>
        <v>1</v>
      </c>
      <c r="AX83" s="1" t="s">
        <v>445</v>
      </c>
      <c r="AY83" s="1">
        <v>0</v>
      </c>
      <c r="AZ83" s="1">
        <v>1</v>
      </c>
      <c r="BA83" s="184" t="s">
        <v>34</v>
      </c>
      <c r="BB83" s="1" t="s">
        <v>34</v>
      </c>
      <c r="BK83" s="167"/>
      <c r="BU83" s="167"/>
      <c r="CE83" s="167"/>
    </row>
    <row r="84" spans="1:87">
      <c r="A84" s="4">
        <v>83</v>
      </c>
      <c r="B84" s="171">
        <v>32904</v>
      </c>
      <c r="C84" s="173" t="s">
        <v>138</v>
      </c>
      <c r="D84" s="1" t="s">
        <v>418</v>
      </c>
      <c r="E84" s="1">
        <f t="shared" ca="1" si="4"/>
        <v>35</v>
      </c>
      <c r="F84" s="1">
        <f t="shared" si="5"/>
        <v>29</v>
      </c>
      <c r="G84" s="1" t="s">
        <v>6</v>
      </c>
      <c r="H84" s="1" t="s">
        <v>12</v>
      </c>
      <c r="I84" s="1" t="s">
        <v>12</v>
      </c>
      <c r="J84" s="1">
        <v>168</v>
      </c>
      <c r="K84" s="1">
        <v>65</v>
      </c>
      <c r="M84" s="1">
        <v>0</v>
      </c>
      <c r="N84" s="1">
        <v>0</v>
      </c>
      <c r="P84" s="1">
        <v>53</v>
      </c>
      <c r="Q84" s="1">
        <v>60</v>
      </c>
      <c r="R84" s="1">
        <v>78</v>
      </c>
      <c r="S84" s="1">
        <v>7</v>
      </c>
      <c r="T84" s="1">
        <v>100</v>
      </c>
      <c r="U84" s="1">
        <v>36</v>
      </c>
      <c r="V84" s="1">
        <v>40</v>
      </c>
      <c r="W84" s="1">
        <v>3251</v>
      </c>
      <c r="Y84" s="1">
        <v>0</v>
      </c>
      <c r="Z84" s="1">
        <v>0</v>
      </c>
      <c r="AA84" s="1">
        <v>0</v>
      </c>
      <c r="AB84" s="166"/>
      <c r="AD84" s="1" t="s">
        <v>128</v>
      </c>
      <c r="AF84" s="167"/>
      <c r="AG84" s="166"/>
      <c r="AK84" s="167"/>
      <c r="AL84" s="1" t="s">
        <v>437</v>
      </c>
      <c r="AN84" s="1" t="s">
        <v>437</v>
      </c>
      <c r="AO84" s="1" t="s">
        <v>437</v>
      </c>
      <c r="AP84" s="1" t="s">
        <v>437</v>
      </c>
      <c r="AQ84" s="1" t="s">
        <v>437</v>
      </c>
      <c r="AR84" s="1" t="s">
        <v>437</v>
      </c>
      <c r="AS84" s="1" t="s">
        <v>437</v>
      </c>
      <c r="AT84" s="1" t="s">
        <v>437</v>
      </c>
      <c r="AU84" s="1" t="s">
        <v>437</v>
      </c>
      <c r="AV84" s="168">
        <v>43831</v>
      </c>
      <c r="AW84" s="1">
        <f t="shared" ca="1" si="6"/>
        <v>5</v>
      </c>
      <c r="AX84" s="1" t="s">
        <v>63</v>
      </c>
      <c r="AY84" s="1">
        <v>2.5</v>
      </c>
      <c r="BA84" s="184" t="s">
        <v>356</v>
      </c>
      <c r="BB84" s="1" t="s">
        <v>447</v>
      </c>
      <c r="BC84" s="1" t="s">
        <v>480</v>
      </c>
      <c r="BK84" s="167"/>
      <c r="BU84" s="167"/>
      <c r="CE84" s="167"/>
      <c r="CI84" s="15" t="s">
        <v>179</v>
      </c>
    </row>
    <row r="85" spans="1:87">
      <c r="A85" s="4">
        <v>84</v>
      </c>
      <c r="B85" s="172">
        <v>21555</v>
      </c>
      <c r="C85" s="173" t="s">
        <v>138</v>
      </c>
      <c r="D85" s="175" t="s">
        <v>418</v>
      </c>
      <c r="E85" s="1">
        <f t="shared" ca="1" si="4"/>
        <v>66</v>
      </c>
      <c r="F85" s="1">
        <f t="shared" si="5"/>
        <v>62</v>
      </c>
      <c r="G85" s="1" t="s">
        <v>8</v>
      </c>
      <c r="H85" s="1" t="s">
        <v>12</v>
      </c>
      <c r="I85" s="1" t="s">
        <v>12</v>
      </c>
      <c r="K85" s="1">
        <v>68</v>
      </c>
      <c r="M85" s="1">
        <v>1</v>
      </c>
      <c r="N85" s="1">
        <v>1</v>
      </c>
      <c r="O85" s="1">
        <v>0</v>
      </c>
      <c r="P85" s="1">
        <v>19</v>
      </c>
      <c r="Q85" s="1">
        <v>20</v>
      </c>
      <c r="S85" s="1">
        <v>6</v>
      </c>
      <c r="T85" s="1">
        <v>70</v>
      </c>
      <c r="U85" s="1">
        <v>445</v>
      </c>
      <c r="V85" s="1">
        <v>27</v>
      </c>
      <c r="W85" s="1">
        <v>5175</v>
      </c>
      <c r="X85" s="1">
        <v>1</v>
      </c>
      <c r="Y85" s="1">
        <v>0</v>
      </c>
      <c r="Z85" s="1">
        <v>0</v>
      </c>
      <c r="AA85" s="1">
        <v>0</v>
      </c>
      <c r="AF85" s="167"/>
      <c r="AK85" s="167"/>
      <c r="AL85" s="1" t="s">
        <v>437</v>
      </c>
      <c r="AV85" s="168">
        <v>44476</v>
      </c>
      <c r="AW85" s="1">
        <f t="shared" ca="1" si="6"/>
        <v>3</v>
      </c>
      <c r="AX85" s="1" t="s">
        <v>445</v>
      </c>
      <c r="AY85" s="1">
        <v>0</v>
      </c>
      <c r="AZ85" s="1">
        <v>1</v>
      </c>
      <c r="BA85" s="184" t="s">
        <v>34</v>
      </c>
      <c r="BB85" s="1" t="s">
        <v>34</v>
      </c>
      <c r="BK85" s="167"/>
      <c r="BU85" s="167"/>
      <c r="CE85" s="167"/>
      <c r="CG85" s="1">
        <v>1</v>
      </c>
      <c r="CI85" s="15" t="s">
        <v>180</v>
      </c>
    </row>
    <row r="86" spans="1:87" ht="28.8">
      <c r="A86" s="4">
        <v>85</v>
      </c>
      <c r="B86" s="172">
        <v>24541</v>
      </c>
      <c r="C86" s="173" t="s">
        <v>138</v>
      </c>
      <c r="D86" s="175" t="s">
        <v>418</v>
      </c>
      <c r="E86" s="1">
        <f t="shared" ca="1" si="4"/>
        <v>58</v>
      </c>
      <c r="F86" s="1">
        <f t="shared" si="5"/>
        <v>53</v>
      </c>
      <c r="G86" s="1" t="s">
        <v>11</v>
      </c>
      <c r="H86" s="1" t="s">
        <v>12</v>
      </c>
      <c r="I86" s="1" t="s">
        <v>12</v>
      </c>
      <c r="M86" s="1">
        <v>0</v>
      </c>
      <c r="N86" s="1">
        <v>0</v>
      </c>
      <c r="O86" s="1">
        <v>0</v>
      </c>
      <c r="P86" s="1">
        <v>29</v>
      </c>
      <c r="Q86" s="1">
        <v>22</v>
      </c>
      <c r="R86" s="1">
        <v>16</v>
      </c>
      <c r="S86" s="1">
        <v>8</v>
      </c>
      <c r="T86" s="1">
        <v>100</v>
      </c>
      <c r="U86" s="1">
        <v>189</v>
      </c>
      <c r="V86" s="1">
        <v>43</v>
      </c>
      <c r="W86" s="1">
        <v>3457</v>
      </c>
      <c r="Y86" s="1">
        <v>654</v>
      </c>
      <c r="Z86" s="1">
        <v>0</v>
      </c>
      <c r="AA86" s="1">
        <v>0</v>
      </c>
      <c r="AC86" s="1" t="s">
        <v>110</v>
      </c>
      <c r="AD86" s="1" t="s">
        <v>106</v>
      </c>
      <c r="AF86" s="167"/>
      <c r="AK86" s="167"/>
      <c r="AL86" s="1" t="s">
        <v>437</v>
      </c>
      <c r="AV86" s="168">
        <v>44004</v>
      </c>
      <c r="AW86" s="1">
        <f t="shared" ca="1" si="6"/>
        <v>5</v>
      </c>
      <c r="AX86" s="1" t="s">
        <v>63</v>
      </c>
      <c r="AY86" s="1">
        <v>0</v>
      </c>
      <c r="AZ86" s="1">
        <v>1</v>
      </c>
      <c r="BA86" s="184" t="s">
        <v>34</v>
      </c>
      <c r="BB86" s="1" t="s">
        <v>34</v>
      </c>
      <c r="BK86" s="167"/>
      <c r="BU86" s="167"/>
      <c r="CE86" s="167"/>
      <c r="CG86" s="1">
        <v>1</v>
      </c>
      <c r="CI86" s="15" t="s">
        <v>181</v>
      </c>
    </row>
    <row r="87" spans="1:87">
      <c r="A87" s="4">
        <v>86</v>
      </c>
      <c r="B87" s="172">
        <v>26094</v>
      </c>
      <c r="C87" s="173" t="s">
        <v>138</v>
      </c>
      <c r="D87" s="175" t="s">
        <v>418</v>
      </c>
      <c r="E87" s="1">
        <f t="shared" ca="1" si="4"/>
        <v>54</v>
      </c>
      <c r="F87" s="1">
        <f t="shared" si="5"/>
        <v>47</v>
      </c>
      <c r="G87" s="1" t="s">
        <v>419</v>
      </c>
      <c r="H87" s="1" t="s">
        <v>12</v>
      </c>
      <c r="I87" s="1" t="s">
        <v>14</v>
      </c>
      <c r="J87" s="1">
        <v>175</v>
      </c>
      <c r="K87" s="1">
        <v>71</v>
      </c>
      <c r="M87" s="1">
        <v>0</v>
      </c>
      <c r="N87" s="1">
        <v>0</v>
      </c>
      <c r="O87" s="1">
        <v>0</v>
      </c>
      <c r="P87" s="1">
        <v>24</v>
      </c>
      <c r="Q87" s="1">
        <v>33</v>
      </c>
      <c r="R87" s="1">
        <v>22</v>
      </c>
      <c r="S87" s="1">
        <v>37</v>
      </c>
      <c r="T87" s="1">
        <v>99</v>
      </c>
      <c r="V87" s="1">
        <v>48</v>
      </c>
      <c r="Y87" s="1">
        <v>6878</v>
      </c>
      <c r="Z87" s="1">
        <v>1</v>
      </c>
      <c r="AA87" s="1">
        <v>0</v>
      </c>
      <c r="AD87" s="1" t="s">
        <v>110</v>
      </c>
      <c r="AF87" s="167"/>
      <c r="AK87" s="167"/>
      <c r="AL87" s="1" t="s">
        <v>437</v>
      </c>
      <c r="AV87" s="168">
        <v>43585</v>
      </c>
      <c r="AW87" s="1">
        <f t="shared" ca="1" si="6"/>
        <v>6</v>
      </c>
      <c r="AX87" s="1" t="s">
        <v>445</v>
      </c>
      <c r="AY87" s="1">
        <v>0</v>
      </c>
      <c r="BA87" s="184" t="s">
        <v>356</v>
      </c>
      <c r="BB87" s="1" t="s">
        <v>448</v>
      </c>
      <c r="BE87" s="1">
        <v>1</v>
      </c>
      <c r="BJ87" s="1">
        <v>1</v>
      </c>
      <c r="BK87" s="167"/>
      <c r="BU87" s="167"/>
      <c r="CE87" s="167"/>
      <c r="CI87" s="15" t="s">
        <v>182</v>
      </c>
    </row>
    <row r="88" spans="1:87">
      <c r="A88" s="4">
        <v>87</v>
      </c>
      <c r="B88" s="172">
        <v>30786</v>
      </c>
      <c r="C88" s="173" t="s">
        <v>138</v>
      </c>
      <c r="D88" s="175" t="s">
        <v>418</v>
      </c>
      <c r="E88" s="1">
        <f t="shared" ca="1" si="4"/>
        <v>41</v>
      </c>
      <c r="F88" s="1">
        <f t="shared" si="5"/>
        <v>37</v>
      </c>
      <c r="G88" s="1" t="s">
        <v>8</v>
      </c>
      <c r="H88" s="1" t="s">
        <v>12</v>
      </c>
      <c r="I88" s="1" t="s">
        <v>12</v>
      </c>
      <c r="J88" s="1">
        <v>184</v>
      </c>
      <c r="K88" s="1">
        <v>100</v>
      </c>
      <c r="M88" s="1">
        <v>0</v>
      </c>
      <c r="N88" s="1">
        <v>0</v>
      </c>
      <c r="O88" s="1">
        <v>0</v>
      </c>
      <c r="P88" s="1">
        <v>35</v>
      </c>
      <c r="Q88" s="1">
        <v>44</v>
      </c>
      <c r="R88" s="1">
        <v>19</v>
      </c>
      <c r="S88" s="1">
        <v>9</v>
      </c>
      <c r="T88" s="1">
        <v>94</v>
      </c>
      <c r="U88" s="1">
        <v>109</v>
      </c>
      <c r="V88" s="1">
        <v>43</v>
      </c>
      <c r="W88" s="1">
        <v>5436</v>
      </c>
      <c r="X88" s="1">
        <v>0</v>
      </c>
      <c r="Y88" s="1">
        <v>14</v>
      </c>
      <c r="AF88" s="167"/>
      <c r="AK88" s="167"/>
      <c r="AL88" s="1" t="s">
        <v>437</v>
      </c>
      <c r="AV88" s="168">
        <v>44383</v>
      </c>
      <c r="AW88" s="1">
        <f t="shared" ca="1" si="6"/>
        <v>4</v>
      </c>
      <c r="AX88" s="1" t="s">
        <v>445</v>
      </c>
      <c r="AY88" s="1">
        <v>0</v>
      </c>
      <c r="AZ88" s="1">
        <v>1</v>
      </c>
      <c r="BA88" s="184" t="s">
        <v>34</v>
      </c>
      <c r="BB88" s="1" t="s">
        <v>34</v>
      </c>
      <c r="BK88" s="167"/>
      <c r="BU88" s="167"/>
      <c r="CE88" s="167"/>
      <c r="CG88" s="1">
        <v>1</v>
      </c>
      <c r="CI88" s="15" t="s">
        <v>183</v>
      </c>
    </row>
    <row r="89" spans="1:87" ht="28.8">
      <c r="A89" s="4">
        <v>88</v>
      </c>
      <c r="B89" s="172">
        <v>27520</v>
      </c>
      <c r="C89" s="173" t="s">
        <v>138</v>
      </c>
      <c r="D89" s="175" t="s">
        <v>170</v>
      </c>
      <c r="E89" s="1">
        <f t="shared" ca="1" si="4"/>
        <v>50</v>
      </c>
      <c r="F89" s="1">
        <f t="shared" si="5"/>
        <v>36</v>
      </c>
      <c r="G89" s="1" t="s">
        <v>419</v>
      </c>
      <c r="H89" s="1" t="s">
        <v>12</v>
      </c>
      <c r="I89" s="1" t="s">
        <v>12</v>
      </c>
      <c r="J89" s="1">
        <v>167</v>
      </c>
      <c r="K89" s="1">
        <v>72</v>
      </c>
      <c r="M89" s="1">
        <v>0</v>
      </c>
      <c r="N89" s="1">
        <v>0</v>
      </c>
      <c r="O89" s="1">
        <v>0</v>
      </c>
      <c r="P89" s="1">
        <v>67</v>
      </c>
      <c r="Q89" s="1">
        <v>32</v>
      </c>
      <c r="R89" s="1">
        <v>15</v>
      </c>
      <c r="S89" s="1">
        <v>23</v>
      </c>
      <c r="T89" s="1">
        <v>42</v>
      </c>
      <c r="U89" s="1">
        <v>20</v>
      </c>
      <c r="V89" s="1">
        <v>29</v>
      </c>
      <c r="W89" s="1">
        <v>39</v>
      </c>
      <c r="Y89" s="1">
        <v>0</v>
      </c>
      <c r="Z89" s="1">
        <v>0</v>
      </c>
      <c r="AA89" s="1">
        <v>0</v>
      </c>
      <c r="AB89" s="1" t="s">
        <v>83</v>
      </c>
      <c r="AF89" s="167"/>
      <c r="AK89" s="167"/>
      <c r="AL89" s="1" t="s">
        <v>439</v>
      </c>
      <c r="AM89" s="1" t="s">
        <v>88</v>
      </c>
      <c r="AR89" s="1" t="s">
        <v>439</v>
      </c>
      <c r="AT89" s="1" t="s">
        <v>440</v>
      </c>
      <c r="AV89" s="168">
        <v>40909</v>
      </c>
      <c r="AW89" s="1">
        <f t="shared" ca="1" si="6"/>
        <v>13</v>
      </c>
      <c r="AX89" s="1" t="s">
        <v>445</v>
      </c>
      <c r="AY89" s="1">
        <v>2.23</v>
      </c>
      <c r="BA89" s="184" t="s">
        <v>356</v>
      </c>
      <c r="BB89" s="1" t="s">
        <v>34</v>
      </c>
      <c r="BK89" s="167"/>
      <c r="BU89" s="167"/>
      <c r="CE89" s="167"/>
      <c r="CI89" s="15" t="s">
        <v>184</v>
      </c>
    </row>
    <row r="90" spans="1:87" ht="28.8">
      <c r="A90" s="4">
        <v>89</v>
      </c>
      <c r="B90" s="172">
        <v>26019</v>
      </c>
      <c r="C90" s="173" t="s">
        <v>138</v>
      </c>
      <c r="D90" s="175" t="s">
        <v>170</v>
      </c>
      <c r="E90" s="1">
        <f t="shared" ca="1" si="4"/>
        <v>54</v>
      </c>
      <c r="F90" s="1">
        <f t="shared" si="5"/>
        <v>51</v>
      </c>
      <c r="G90" s="1" t="s">
        <v>8</v>
      </c>
      <c r="H90" s="1" t="s">
        <v>12</v>
      </c>
      <c r="I90" s="1" t="s">
        <v>12</v>
      </c>
      <c r="J90" s="1">
        <v>162</v>
      </c>
      <c r="K90" s="1">
        <v>58</v>
      </c>
      <c r="M90" s="1">
        <v>0</v>
      </c>
      <c r="N90" s="1">
        <v>0</v>
      </c>
      <c r="O90" s="1">
        <v>0</v>
      </c>
      <c r="P90" s="1">
        <v>69</v>
      </c>
      <c r="Q90" s="1">
        <v>35</v>
      </c>
      <c r="R90" s="1">
        <v>55</v>
      </c>
      <c r="S90" s="1">
        <v>33</v>
      </c>
      <c r="T90" s="1">
        <v>48</v>
      </c>
      <c r="V90" s="1">
        <v>26</v>
      </c>
      <c r="W90" s="1">
        <v>18365</v>
      </c>
      <c r="Y90" s="1" t="s">
        <v>185</v>
      </c>
      <c r="Z90" s="1">
        <v>0</v>
      </c>
      <c r="AA90" s="1">
        <v>0</v>
      </c>
      <c r="AB90" s="1" t="s">
        <v>83</v>
      </c>
      <c r="AF90" s="167"/>
      <c r="AK90" s="167"/>
      <c r="AL90" s="1" t="s">
        <v>438</v>
      </c>
      <c r="AM90" s="1" t="s">
        <v>186</v>
      </c>
      <c r="AN90" s="1" t="s">
        <v>438</v>
      </c>
      <c r="AO90" s="1" t="s">
        <v>439</v>
      </c>
      <c r="AR90" s="1" t="s">
        <v>438</v>
      </c>
      <c r="AV90" s="168">
        <v>44873</v>
      </c>
      <c r="AW90" s="1">
        <f t="shared" ca="1" si="6"/>
        <v>2</v>
      </c>
      <c r="AX90" s="1" t="s">
        <v>445</v>
      </c>
      <c r="AY90" s="1">
        <v>0</v>
      </c>
      <c r="AZ90" s="1">
        <v>1</v>
      </c>
      <c r="BA90" s="184" t="s">
        <v>356</v>
      </c>
      <c r="BK90" s="167"/>
      <c r="BU90" s="167"/>
      <c r="CE90" s="167"/>
      <c r="CI90" s="15" t="s">
        <v>187</v>
      </c>
    </row>
    <row r="91" spans="1:87">
      <c r="A91" s="4">
        <v>90</v>
      </c>
      <c r="B91" s="172">
        <v>29185</v>
      </c>
      <c r="C91" s="173" t="s">
        <v>138</v>
      </c>
      <c r="D91" s="175" t="s">
        <v>418</v>
      </c>
      <c r="E91" s="1">
        <f t="shared" ca="1" si="4"/>
        <v>45</v>
      </c>
      <c r="F91" s="1">
        <f t="shared" si="5"/>
        <v>39</v>
      </c>
      <c r="G91" s="1" t="s">
        <v>6</v>
      </c>
      <c r="H91" s="1" t="s">
        <v>12</v>
      </c>
      <c r="I91" s="1" t="s">
        <v>12</v>
      </c>
      <c r="M91" s="1">
        <v>0</v>
      </c>
      <c r="N91" s="1">
        <v>0</v>
      </c>
      <c r="O91" s="1">
        <v>0</v>
      </c>
      <c r="P91" s="1">
        <v>30</v>
      </c>
      <c r="Q91" s="1">
        <v>60</v>
      </c>
      <c r="R91" s="1">
        <v>19</v>
      </c>
      <c r="S91" s="1">
        <v>12</v>
      </c>
      <c r="T91" s="1">
        <v>99</v>
      </c>
      <c r="U91" s="1">
        <v>205</v>
      </c>
      <c r="Y91" s="1">
        <v>750</v>
      </c>
      <c r="AC91" s="1" t="s">
        <v>128</v>
      </c>
      <c r="AD91" s="1">
        <v>0.55000000000000004</v>
      </c>
      <c r="AF91" s="167"/>
      <c r="AK91" s="167"/>
      <c r="AL91" s="1" t="s">
        <v>437</v>
      </c>
      <c r="AV91" s="168">
        <v>43671</v>
      </c>
      <c r="AW91" s="1">
        <f t="shared" ca="1" si="6"/>
        <v>5</v>
      </c>
      <c r="AX91" s="1" t="s">
        <v>63</v>
      </c>
      <c r="AY91" s="1">
        <v>5.31</v>
      </c>
      <c r="BA91" s="184" t="s">
        <v>34</v>
      </c>
      <c r="BB91" s="1" t="s">
        <v>34</v>
      </c>
      <c r="BK91" s="167"/>
      <c r="BU91" s="167"/>
      <c r="CE91" s="167"/>
      <c r="CG91" s="1">
        <v>1</v>
      </c>
      <c r="CI91" s="15" t="s">
        <v>188</v>
      </c>
    </row>
    <row r="92" spans="1:87">
      <c r="A92" s="4">
        <v>91</v>
      </c>
      <c r="B92" s="172">
        <v>31488</v>
      </c>
      <c r="C92" s="173" t="s">
        <v>138</v>
      </c>
      <c r="D92" s="175" t="s">
        <v>170</v>
      </c>
      <c r="E92" s="1">
        <f t="shared" ca="1" si="4"/>
        <v>39</v>
      </c>
      <c r="F92" s="1">
        <f t="shared" si="5"/>
        <v>37</v>
      </c>
      <c r="G92" s="1" t="s">
        <v>5</v>
      </c>
      <c r="H92" s="1" t="s">
        <v>12</v>
      </c>
      <c r="I92" s="1" t="s">
        <v>12</v>
      </c>
      <c r="J92" s="1">
        <v>159</v>
      </c>
      <c r="K92" s="1">
        <v>59</v>
      </c>
      <c r="M92" s="1">
        <v>0</v>
      </c>
      <c r="N92" s="1">
        <v>0</v>
      </c>
      <c r="O92" s="1">
        <v>0</v>
      </c>
      <c r="P92" s="1">
        <v>21</v>
      </c>
      <c r="Q92" s="1">
        <v>19</v>
      </c>
      <c r="R92" s="1">
        <v>17</v>
      </c>
      <c r="W92" s="1">
        <v>3786</v>
      </c>
      <c r="X92" s="1">
        <v>0</v>
      </c>
      <c r="Y92" s="1">
        <v>1017</v>
      </c>
      <c r="Z92" s="1">
        <v>0</v>
      </c>
      <c r="AA92" s="1">
        <v>0</v>
      </c>
      <c r="AC92" s="1" t="s">
        <v>110</v>
      </c>
      <c r="AF92" s="167">
        <v>0.93</v>
      </c>
      <c r="AH92" s="1" t="s">
        <v>110</v>
      </c>
      <c r="AK92" s="167"/>
      <c r="AL92" s="1" t="s">
        <v>437</v>
      </c>
      <c r="AV92" s="168">
        <v>45017</v>
      </c>
      <c r="AW92" s="1">
        <f t="shared" ca="1" si="6"/>
        <v>2</v>
      </c>
      <c r="AX92" s="1" t="s">
        <v>63</v>
      </c>
      <c r="AY92" s="1">
        <v>0</v>
      </c>
      <c r="AZ92" s="1">
        <v>1</v>
      </c>
      <c r="BA92" s="184" t="s">
        <v>356</v>
      </c>
      <c r="BB92" s="1" t="s">
        <v>34</v>
      </c>
      <c r="BK92" s="167"/>
      <c r="BU92" s="167"/>
      <c r="CE92" s="167"/>
      <c r="CI92" s="15" t="s">
        <v>189</v>
      </c>
    </row>
    <row r="93" spans="1:87">
      <c r="A93" s="4">
        <v>92</v>
      </c>
      <c r="B93" s="172">
        <v>33390</v>
      </c>
      <c r="C93" s="173" t="s">
        <v>138</v>
      </c>
      <c r="D93" s="175" t="s">
        <v>418</v>
      </c>
      <c r="E93" s="1">
        <f t="shared" ca="1" si="4"/>
        <v>34</v>
      </c>
      <c r="F93" s="1">
        <f t="shared" si="5"/>
        <v>27</v>
      </c>
      <c r="G93" s="1" t="s">
        <v>419</v>
      </c>
      <c r="H93" s="1" t="s">
        <v>12</v>
      </c>
      <c r="I93" s="1" t="s">
        <v>14</v>
      </c>
      <c r="M93" s="1">
        <v>0</v>
      </c>
      <c r="N93" s="1">
        <v>0</v>
      </c>
      <c r="O93" s="1">
        <v>0</v>
      </c>
      <c r="P93" s="1">
        <v>58</v>
      </c>
      <c r="Q93" s="1">
        <v>76</v>
      </c>
      <c r="R93" s="1">
        <v>64</v>
      </c>
      <c r="S93" s="1">
        <v>5</v>
      </c>
      <c r="T93" s="1">
        <v>100</v>
      </c>
      <c r="U93" s="1">
        <v>376</v>
      </c>
      <c r="V93" s="1">
        <v>48</v>
      </c>
      <c r="W93" s="1">
        <v>579</v>
      </c>
      <c r="X93" s="1">
        <v>0</v>
      </c>
      <c r="Y93" s="1">
        <v>0</v>
      </c>
      <c r="Z93" s="1">
        <v>0</v>
      </c>
      <c r="AA93" s="1">
        <v>0</v>
      </c>
      <c r="AD93" s="1">
        <v>0.19</v>
      </c>
      <c r="AF93" s="167"/>
      <c r="AH93" s="1" t="s">
        <v>110</v>
      </c>
      <c r="AK93" s="167"/>
      <c r="AL93" s="1" t="s">
        <v>437</v>
      </c>
      <c r="AV93" s="168">
        <v>43606</v>
      </c>
      <c r="AW93" s="1">
        <f t="shared" ca="1" si="6"/>
        <v>6</v>
      </c>
      <c r="AX93" s="1" t="s">
        <v>445</v>
      </c>
      <c r="AY93" s="1">
        <v>3</v>
      </c>
      <c r="BA93" s="184" t="s">
        <v>34</v>
      </c>
      <c r="BB93" s="1" t="s">
        <v>34</v>
      </c>
      <c r="BK93" s="167"/>
      <c r="BU93" s="167"/>
      <c r="CE93" s="167"/>
      <c r="CG93" s="1">
        <v>1</v>
      </c>
      <c r="CI93" s="15" t="s">
        <v>190</v>
      </c>
    </row>
    <row r="94" spans="1:87">
      <c r="A94" s="4">
        <v>93</v>
      </c>
      <c r="B94" s="172">
        <v>32808</v>
      </c>
      <c r="C94" s="173" t="s">
        <v>138</v>
      </c>
      <c r="D94" s="1" t="s">
        <v>418</v>
      </c>
      <c r="E94" s="1">
        <f t="shared" ca="1" si="4"/>
        <v>35</v>
      </c>
      <c r="F94" s="1">
        <f t="shared" si="5"/>
        <v>24</v>
      </c>
      <c r="G94" s="1" t="s">
        <v>5</v>
      </c>
      <c r="H94" s="1" t="s">
        <v>12</v>
      </c>
      <c r="I94" s="1" t="s">
        <v>14</v>
      </c>
      <c r="J94" s="1">
        <v>175</v>
      </c>
      <c r="K94" s="1">
        <v>67</v>
      </c>
      <c r="M94" s="1">
        <v>0</v>
      </c>
      <c r="N94" s="1">
        <v>0</v>
      </c>
      <c r="O94" s="1">
        <v>0</v>
      </c>
      <c r="P94" s="1">
        <v>46</v>
      </c>
      <c r="Q94" s="1">
        <v>58</v>
      </c>
      <c r="R94" s="1">
        <v>17</v>
      </c>
      <c r="S94" s="1">
        <v>5</v>
      </c>
      <c r="T94" s="1">
        <v>100</v>
      </c>
      <c r="U94" s="1">
        <v>291</v>
      </c>
      <c r="V94" s="1">
        <v>39</v>
      </c>
      <c r="W94" s="1">
        <v>1786</v>
      </c>
      <c r="Z94" s="1">
        <v>0</v>
      </c>
      <c r="AA94" s="1">
        <v>0</v>
      </c>
      <c r="AD94" s="1" t="s">
        <v>91</v>
      </c>
      <c r="AF94" s="167"/>
      <c r="AK94" s="167"/>
      <c r="AL94" s="1" t="s">
        <v>437</v>
      </c>
      <c r="AV94" s="168">
        <v>41918</v>
      </c>
      <c r="AW94" s="1">
        <f t="shared" ca="1" si="6"/>
        <v>10</v>
      </c>
      <c r="AX94" s="1" t="s">
        <v>63</v>
      </c>
      <c r="AY94" s="1">
        <v>8.7799999999999994</v>
      </c>
      <c r="BA94" s="184" t="s">
        <v>356</v>
      </c>
      <c r="BB94" s="1" t="s">
        <v>447</v>
      </c>
      <c r="BK94" s="167"/>
      <c r="BU94" s="167"/>
      <c r="CE94" s="167"/>
      <c r="CG94" s="1">
        <v>1</v>
      </c>
      <c r="CI94" s="15" t="s">
        <v>191</v>
      </c>
    </row>
    <row r="95" spans="1:87" ht="28.8">
      <c r="A95" s="4">
        <v>94</v>
      </c>
      <c r="B95" s="171">
        <v>31393</v>
      </c>
      <c r="C95" s="173" t="s">
        <v>138</v>
      </c>
      <c r="D95" s="1" t="s">
        <v>418</v>
      </c>
      <c r="E95" s="1">
        <f t="shared" ca="1" si="4"/>
        <v>39</v>
      </c>
      <c r="F95" s="1">
        <f t="shared" si="5"/>
        <v>33</v>
      </c>
      <c r="G95" s="1" t="s">
        <v>419</v>
      </c>
      <c r="H95" s="1" t="s">
        <v>12</v>
      </c>
      <c r="I95" s="1" t="s">
        <v>14</v>
      </c>
      <c r="J95" s="1">
        <v>173</v>
      </c>
      <c r="K95" s="1">
        <v>70</v>
      </c>
      <c r="M95" s="1">
        <v>0</v>
      </c>
      <c r="N95" s="1">
        <v>0</v>
      </c>
      <c r="O95" s="1">
        <v>0</v>
      </c>
      <c r="P95" s="1">
        <v>40</v>
      </c>
      <c r="Q95" s="1">
        <v>67</v>
      </c>
      <c r="R95" s="1">
        <v>51</v>
      </c>
      <c r="S95" s="1">
        <v>23</v>
      </c>
      <c r="T95" s="1">
        <v>87</v>
      </c>
      <c r="U95" s="1">
        <v>130</v>
      </c>
      <c r="X95" s="1">
        <v>0</v>
      </c>
      <c r="Y95" s="1">
        <v>24</v>
      </c>
      <c r="AB95" s="166"/>
      <c r="AC95" s="1" t="s">
        <v>106</v>
      </c>
      <c r="AF95" s="167"/>
      <c r="AG95" s="166"/>
      <c r="AK95" s="167"/>
      <c r="AL95" s="1" t="s">
        <v>440</v>
      </c>
      <c r="AM95" s="1" t="s">
        <v>84</v>
      </c>
      <c r="AV95" s="168">
        <v>43669</v>
      </c>
      <c r="AW95" s="1">
        <f t="shared" ca="1" si="6"/>
        <v>5</v>
      </c>
      <c r="AX95" s="1" t="s">
        <v>445</v>
      </c>
      <c r="AY95" s="1">
        <v>6.61</v>
      </c>
      <c r="BA95" s="184" t="s">
        <v>356</v>
      </c>
      <c r="BB95" s="1" t="s">
        <v>448</v>
      </c>
      <c r="BC95" s="1" t="s">
        <v>481</v>
      </c>
      <c r="BD95" s="1">
        <v>1</v>
      </c>
      <c r="BE95" s="1">
        <v>1</v>
      </c>
      <c r="BH95" s="1">
        <v>1</v>
      </c>
      <c r="BK95" s="167"/>
      <c r="BL95" s="1" t="s">
        <v>446</v>
      </c>
      <c r="BN95" s="1" t="s">
        <v>483</v>
      </c>
      <c r="BU95" s="167"/>
      <c r="BV95" s="1" t="s">
        <v>447</v>
      </c>
      <c r="BX95" s="1" t="s">
        <v>483</v>
      </c>
      <c r="CE95" s="167"/>
      <c r="CI95" s="15" t="s">
        <v>192</v>
      </c>
    </row>
    <row r="96" spans="1:87">
      <c r="A96" s="4">
        <v>95</v>
      </c>
      <c r="B96" s="172">
        <v>26036</v>
      </c>
      <c r="C96" s="173" t="s">
        <v>138</v>
      </c>
      <c r="D96" s="1" t="s">
        <v>418</v>
      </c>
      <c r="E96" s="1">
        <f t="shared" ca="1" si="4"/>
        <v>54</v>
      </c>
      <c r="F96" s="1">
        <f t="shared" si="5"/>
        <v>49</v>
      </c>
      <c r="G96" s="1" t="s">
        <v>419</v>
      </c>
      <c r="H96" s="1" t="s">
        <v>12</v>
      </c>
      <c r="I96" s="1" t="s">
        <v>12</v>
      </c>
      <c r="K96" s="1">
        <v>80</v>
      </c>
      <c r="M96" s="1">
        <v>0</v>
      </c>
      <c r="N96" s="1">
        <v>0</v>
      </c>
      <c r="O96" s="1">
        <v>0</v>
      </c>
      <c r="P96" s="1">
        <v>260</v>
      </c>
      <c r="Q96" s="1">
        <v>268</v>
      </c>
      <c r="R96" s="1">
        <v>421</v>
      </c>
      <c r="S96" s="1">
        <v>22</v>
      </c>
      <c r="U96" s="1">
        <v>78</v>
      </c>
      <c r="Y96" s="1">
        <v>22</v>
      </c>
      <c r="Z96" s="1">
        <v>1</v>
      </c>
      <c r="AA96" s="1">
        <v>0</v>
      </c>
      <c r="AC96" s="1" t="s">
        <v>83</v>
      </c>
      <c r="AF96" s="167"/>
      <c r="AK96" s="167"/>
      <c r="AL96" s="1" t="s">
        <v>438</v>
      </c>
      <c r="AM96" s="1" t="s">
        <v>88</v>
      </c>
      <c r="AN96" s="1" t="s">
        <v>439</v>
      </c>
      <c r="AR96" s="1" t="s">
        <v>438</v>
      </c>
      <c r="AV96" s="168">
        <v>44083</v>
      </c>
      <c r="AW96" s="1">
        <f t="shared" ca="1" si="6"/>
        <v>4</v>
      </c>
      <c r="AX96" s="1" t="s">
        <v>444</v>
      </c>
      <c r="AY96" s="1">
        <v>7.19</v>
      </c>
      <c r="BA96" s="184" t="s">
        <v>356</v>
      </c>
      <c r="BB96" s="1" t="s">
        <v>34</v>
      </c>
      <c r="BK96" s="167"/>
      <c r="BU96" s="167"/>
      <c r="CE96" s="167"/>
      <c r="CF96" s="1" t="s">
        <v>313</v>
      </c>
      <c r="CG96" s="1">
        <v>1</v>
      </c>
      <c r="CI96" s="15" t="s">
        <v>397</v>
      </c>
    </row>
    <row r="97" spans="1:87">
      <c r="A97" s="4">
        <v>96</v>
      </c>
      <c r="B97" s="171">
        <v>32021</v>
      </c>
      <c r="C97" s="173" t="s">
        <v>138</v>
      </c>
      <c r="D97" s="1" t="s">
        <v>418</v>
      </c>
      <c r="E97" s="1">
        <f t="shared" ca="1" si="4"/>
        <v>37</v>
      </c>
      <c r="F97" s="1">
        <f t="shared" si="5"/>
        <v>30</v>
      </c>
      <c r="G97" s="1" t="s">
        <v>419</v>
      </c>
      <c r="H97" s="1" t="s">
        <v>12</v>
      </c>
      <c r="I97" s="1" t="s">
        <v>12</v>
      </c>
      <c r="J97" s="1">
        <v>161</v>
      </c>
      <c r="K97" s="1">
        <v>64</v>
      </c>
      <c r="M97" s="1">
        <v>0</v>
      </c>
      <c r="N97" s="1">
        <v>0</v>
      </c>
      <c r="O97" s="1">
        <v>0</v>
      </c>
      <c r="P97" s="1">
        <v>79</v>
      </c>
      <c r="Q97" s="1">
        <v>107</v>
      </c>
      <c r="R97" s="1">
        <v>49</v>
      </c>
      <c r="S97" s="1">
        <v>12</v>
      </c>
      <c r="T97" s="1">
        <v>56</v>
      </c>
      <c r="U97" s="1">
        <v>37</v>
      </c>
      <c r="V97" s="1">
        <v>37</v>
      </c>
      <c r="W97" s="1">
        <v>9343</v>
      </c>
      <c r="X97" s="1">
        <v>0</v>
      </c>
      <c r="Z97" s="1">
        <v>0</v>
      </c>
      <c r="AA97" s="1">
        <v>0</v>
      </c>
      <c r="AB97" s="166"/>
      <c r="AF97" s="167"/>
      <c r="AG97" s="166"/>
      <c r="AK97" s="167"/>
      <c r="AL97" s="1" t="s">
        <v>438</v>
      </c>
      <c r="AM97" s="1" t="s">
        <v>88</v>
      </c>
      <c r="AN97" s="1" t="s">
        <v>437</v>
      </c>
      <c r="AO97" s="1" t="s">
        <v>437</v>
      </c>
      <c r="AP97" s="1" t="s">
        <v>437</v>
      </c>
      <c r="AQ97" s="1" t="s">
        <v>437</v>
      </c>
      <c r="AR97" s="1" t="s">
        <v>437</v>
      </c>
      <c r="AS97" s="1" t="s">
        <v>437</v>
      </c>
      <c r="AT97" s="1" t="s">
        <v>437</v>
      </c>
      <c r="AU97" s="1" t="s">
        <v>437</v>
      </c>
      <c r="AV97" s="168">
        <v>43004</v>
      </c>
      <c r="AW97" s="1">
        <f t="shared" ca="1" si="6"/>
        <v>7</v>
      </c>
      <c r="AX97" s="1" t="s">
        <v>445</v>
      </c>
      <c r="AY97" s="1" t="s">
        <v>193</v>
      </c>
      <c r="BA97" s="184" t="s">
        <v>356</v>
      </c>
      <c r="BK97" s="167"/>
      <c r="BU97" s="167"/>
      <c r="CE97" s="167"/>
    </row>
    <row r="98" spans="1:87">
      <c r="A98" s="4">
        <v>97</v>
      </c>
      <c r="B98" s="172">
        <v>25743</v>
      </c>
      <c r="C98" s="173" t="s">
        <v>138</v>
      </c>
      <c r="D98" s="1" t="s">
        <v>418</v>
      </c>
      <c r="E98" s="1">
        <f t="shared" ca="1" si="4"/>
        <v>55</v>
      </c>
      <c r="F98" s="1">
        <f t="shared" ref="F98:F129" si="7">DATEDIF(B98,AV98,"Y")</f>
        <v>51</v>
      </c>
      <c r="G98" s="1" t="s">
        <v>11</v>
      </c>
      <c r="H98" s="1" t="s">
        <v>12</v>
      </c>
      <c r="I98" s="1" t="s">
        <v>14</v>
      </c>
      <c r="J98" s="1">
        <v>180</v>
      </c>
      <c r="K98" s="1">
        <v>68</v>
      </c>
      <c r="M98" s="1">
        <v>0</v>
      </c>
      <c r="N98" s="1">
        <v>0</v>
      </c>
      <c r="O98" s="1">
        <v>0</v>
      </c>
      <c r="P98" s="1">
        <v>20</v>
      </c>
      <c r="Q98" s="1">
        <v>10</v>
      </c>
      <c r="R98" s="1">
        <v>20</v>
      </c>
      <c r="S98" s="1">
        <v>5</v>
      </c>
      <c r="T98" s="1">
        <v>95</v>
      </c>
      <c r="U98" s="1">
        <v>391</v>
      </c>
      <c r="V98" s="1">
        <v>40</v>
      </c>
      <c r="W98" s="1">
        <v>8.2799999999999994</v>
      </c>
      <c r="Y98" s="1">
        <v>0</v>
      </c>
      <c r="Z98" s="1">
        <v>1</v>
      </c>
      <c r="AA98" s="1">
        <v>0</v>
      </c>
      <c r="AC98" s="1" t="s">
        <v>128</v>
      </c>
      <c r="AF98" s="167"/>
      <c r="AK98" s="167"/>
      <c r="AL98" s="1" t="s">
        <v>437</v>
      </c>
      <c r="AV98" s="168">
        <v>44631</v>
      </c>
      <c r="AW98" s="1">
        <f t="shared" ca="1" si="6"/>
        <v>3</v>
      </c>
      <c r="AX98" s="1" t="s">
        <v>444</v>
      </c>
      <c r="AY98" s="1">
        <v>0</v>
      </c>
      <c r="BA98" s="184" t="s">
        <v>356</v>
      </c>
      <c r="BB98" s="1" t="s">
        <v>34</v>
      </c>
      <c r="BK98" s="167"/>
      <c r="BU98" s="167"/>
      <c r="CE98" s="167"/>
      <c r="CF98" s="1" t="s">
        <v>313</v>
      </c>
      <c r="CG98" s="1">
        <v>1</v>
      </c>
      <c r="CI98" s="15" t="s">
        <v>194</v>
      </c>
    </row>
    <row r="99" spans="1:87">
      <c r="A99" s="4">
        <v>98</v>
      </c>
      <c r="B99" s="172">
        <v>23224</v>
      </c>
      <c r="C99" s="173" t="s">
        <v>138</v>
      </c>
      <c r="D99" s="1" t="s">
        <v>418</v>
      </c>
      <c r="E99" s="1">
        <f t="shared" ca="1" si="4"/>
        <v>61</v>
      </c>
      <c r="F99" s="1">
        <f t="shared" si="7"/>
        <v>57</v>
      </c>
      <c r="G99" s="1" t="s">
        <v>5</v>
      </c>
      <c r="H99" s="1" t="s">
        <v>12</v>
      </c>
      <c r="I99" s="1" t="s">
        <v>12</v>
      </c>
      <c r="J99" s="175"/>
      <c r="K99" s="175"/>
      <c r="M99" s="175"/>
      <c r="N99" s="175"/>
      <c r="O99" s="175"/>
      <c r="P99" s="175" t="s">
        <v>195</v>
      </c>
      <c r="Q99" s="175" t="s">
        <v>196</v>
      </c>
      <c r="R99" s="175" t="s">
        <v>197</v>
      </c>
      <c r="S99" s="175" t="s">
        <v>198</v>
      </c>
      <c r="T99" s="175" t="s">
        <v>199</v>
      </c>
      <c r="U99" s="175"/>
      <c r="V99" s="175"/>
      <c r="W99" s="175"/>
      <c r="X99" s="175"/>
      <c r="Y99" s="175"/>
      <c r="Z99" s="175"/>
      <c r="AA99" s="175"/>
      <c r="AD99" s="1" t="s">
        <v>106</v>
      </c>
      <c r="AF99" s="167"/>
      <c r="AK99" s="167"/>
      <c r="AL99" s="1" t="s">
        <v>437</v>
      </c>
      <c r="AV99" s="168">
        <v>44172</v>
      </c>
      <c r="AW99" s="1">
        <f t="shared" ca="1" si="6"/>
        <v>4</v>
      </c>
      <c r="AX99" s="1" t="s">
        <v>63</v>
      </c>
      <c r="AY99" s="1">
        <v>6.83</v>
      </c>
      <c r="BA99" s="184" t="s">
        <v>34</v>
      </c>
      <c r="BB99" s="1" t="s">
        <v>34</v>
      </c>
      <c r="BK99" s="167"/>
      <c r="BU99" s="167"/>
      <c r="CE99" s="167"/>
      <c r="CF99" s="1" t="s">
        <v>486</v>
      </c>
      <c r="CI99" s="15" t="s">
        <v>200</v>
      </c>
    </row>
    <row r="100" spans="1:87">
      <c r="A100" s="4">
        <v>99</v>
      </c>
      <c r="B100" s="171">
        <v>29409</v>
      </c>
      <c r="C100" s="173" t="s">
        <v>138</v>
      </c>
      <c r="D100" s="1" t="s">
        <v>170</v>
      </c>
      <c r="E100" s="1">
        <f t="shared" ca="1" si="4"/>
        <v>45</v>
      </c>
      <c r="F100" s="1">
        <f t="shared" si="7"/>
        <v>40</v>
      </c>
      <c r="G100" s="1" t="s">
        <v>8</v>
      </c>
      <c r="H100" s="1" t="s">
        <v>12</v>
      </c>
      <c r="I100" s="1" t="s">
        <v>12</v>
      </c>
      <c r="J100" s="1">
        <v>155</v>
      </c>
      <c r="K100" s="1">
        <v>50</v>
      </c>
      <c r="M100" s="1">
        <v>0</v>
      </c>
      <c r="N100" s="1">
        <v>0</v>
      </c>
      <c r="O100" s="1">
        <v>0</v>
      </c>
      <c r="P100" s="1">
        <v>93</v>
      </c>
      <c r="Q100" s="1">
        <v>114</v>
      </c>
      <c r="R100" s="1">
        <v>167</v>
      </c>
      <c r="U100" s="1">
        <v>28</v>
      </c>
      <c r="W100" s="1">
        <v>666</v>
      </c>
      <c r="X100" s="1">
        <v>0</v>
      </c>
      <c r="Z100" s="1">
        <v>0</v>
      </c>
      <c r="AA100" s="1">
        <v>1</v>
      </c>
      <c r="AB100" s="166"/>
      <c r="AC100" s="1" t="s">
        <v>106</v>
      </c>
      <c r="AD100" s="1" t="s">
        <v>83</v>
      </c>
      <c r="AF100" s="167"/>
      <c r="AG100" s="166"/>
      <c r="AH100" s="1" t="s">
        <v>110</v>
      </c>
      <c r="AK100" s="167"/>
      <c r="AL100" s="1" t="s">
        <v>437</v>
      </c>
      <c r="AV100" s="168">
        <v>44124</v>
      </c>
      <c r="AW100" s="1">
        <f t="shared" ca="1" si="6"/>
        <v>4</v>
      </c>
      <c r="AX100" s="1" t="s">
        <v>445</v>
      </c>
      <c r="AY100" s="1">
        <v>6.6</v>
      </c>
      <c r="BA100" s="184" t="s">
        <v>356</v>
      </c>
      <c r="BB100" s="1" t="s">
        <v>448</v>
      </c>
      <c r="BD100" s="1">
        <v>1</v>
      </c>
      <c r="BE100" s="1">
        <v>1</v>
      </c>
      <c r="BH100" s="1">
        <v>1</v>
      </c>
      <c r="BK100" s="167"/>
      <c r="BL100" s="1" t="s">
        <v>446</v>
      </c>
      <c r="BM100" s="1" t="s">
        <v>480</v>
      </c>
      <c r="BN100" s="1" t="s">
        <v>482</v>
      </c>
      <c r="BU100" s="167"/>
      <c r="CE100" s="167"/>
      <c r="CI100" s="15" t="s">
        <v>201</v>
      </c>
    </row>
    <row r="101" spans="1:87" ht="28.8">
      <c r="A101" s="4">
        <v>100</v>
      </c>
      <c r="B101" s="172">
        <v>32655</v>
      </c>
      <c r="C101" s="173" t="s">
        <v>138</v>
      </c>
      <c r="D101" s="1" t="s">
        <v>170</v>
      </c>
      <c r="E101" s="1">
        <f t="shared" ca="1" si="4"/>
        <v>36</v>
      </c>
      <c r="F101" s="1">
        <f t="shared" si="7"/>
        <v>33</v>
      </c>
      <c r="G101" s="1" t="s">
        <v>419</v>
      </c>
      <c r="H101" s="1" t="s">
        <v>12</v>
      </c>
      <c r="I101" s="1" t="s">
        <v>14</v>
      </c>
      <c r="J101" s="1">
        <v>161</v>
      </c>
      <c r="K101" s="1">
        <v>70</v>
      </c>
      <c r="M101" s="1">
        <v>0</v>
      </c>
      <c r="N101" s="1">
        <v>0</v>
      </c>
      <c r="O101" s="1">
        <v>0</v>
      </c>
      <c r="P101" s="1">
        <v>25</v>
      </c>
      <c r="Q101" s="1">
        <v>16</v>
      </c>
      <c r="R101" s="1">
        <v>6</v>
      </c>
      <c r="S101" s="1">
        <v>4</v>
      </c>
      <c r="T101" s="1">
        <v>100</v>
      </c>
      <c r="U101" s="1">
        <v>345</v>
      </c>
      <c r="V101" s="1">
        <v>26</v>
      </c>
      <c r="W101" s="1">
        <v>3556</v>
      </c>
      <c r="Z101" s="1">
        <v>0</v>
      </c>
      <c r="AA101" s="1">
        <v>0</v>
      </c>
      <c r="AF101" s="167"/>
      <c r="AK101" s="167"/>
      <c r="AL101" s="1" t="s">
        <v>437</v>
      </c>
      <c r="AV101" s="168">
        <v>44797</v>
      </c>
      <c r="AW101" s="1">
        <f t="shared" ca="1" si="6"/>
        <v>2</v>
      </c>
      <c r="AX101" s="1" t="s">
        <v>445</v>
      </c>
      <c r="AY101" s="1">
        <v>0</v>
      </c>
      <c r="BA101" s="184" t="s">
        <v>34</v>
      </c>
      <c r="BB101" s="1" t="s">
        <v>34</v>
      </c>
      <c r="BK101" s="167"/>
      <c r="BU101" s="167"/>
      <c r="CE101" s="167"/>
      <c r="CH101" s="1">
        <v>1</v>
      </c>
      <c r="CI101" s="15" t="s">
        <v>202</v>
      </c>
    </row>
    <row r="102" spans="1:87">
      <c r="A102" s="4">
        <v>101</v>
      </c>
      <c r="B102" s="172">
        <v>30316</v>
      </c>
      <c r="C102" s="173" t="s">
        <v>138</v>
      </c>
      <c r="D102" s="1" t="s">
        <v>170</v>
      </c>
      <c r="E102" s="1">
        <f t="shared" ca="1" si="4"/>
        <v>42</v>
      </c>
      <c r="F102" s="1">
        <f t="shared" si="7"/>
        <v>30</v>
      </c>
      <c r="G102" s="1" t="s">
        <v>419</v>
      </c>
      <c r="H102" s="1" t="s">
        <v>12</v>
      </c>
      <c r="I102" s="1" t="s">
        <v>12</v>
      </c>
      <c r="J102" s="1">
        <v>160</v>
      </c>
      <c r="K102" s="1">
        <v>75</v>
      </c>
      <c r="M102" s="1">
        <v>0</v>
      </c>
      <c r="N102" s="1">
        <v>0</v>
      </c>
      <c r="O102" s="1">
        <v>0</v>
      </c>
      <c r="P102" s="1">
        <v>26</v>
      </c>
      <c r="Q102" s="1">
        <v>33</v>
      </c>
      <c r="R102" s="1">
        <v>32</v>
      </c>
      <c r="U102" s="1">
        <v>192</v>
      </c>
      <c r="W102" s="1">
        <v>16</v>
      </c>
      <c r="Y102" s="1">
        <v>0</v>
      </c>
      <c r="Z102" s="1">
        <v>0</v>
      </c>
      <c r="AA102" s="1">
        <v>1</v>
      </c>
      <c r="AB102" s="1" t="s">
        <v>83</v>
      </c>
      <c r="AC102" s="1" t="s">
        <v>83</v>
      </c>
      <c r="AF102" s="167">
        <v>1.27</v>
      </c>
      <c r="AK102" s="167"/>
      <c r="AL102" s="1" t="s">
        <v>438</v>
      </c>
      <c r="AV102" s="168">
        <v>41275</v>
      </c>
      <c r="AW102" s="1">
        <f t="shared" ca="1" si="6"/>
        <v>12</v>
      </c>
      <c r="AX102" s="1" t="s">
        <v>445</v>
      </c>
      <c r="AY102" s="1">
        <v>0</v>
      </c>
      <c r="BA102" s="184" t="s">
        <v>356</v>
      </c>
      <c r="BB102" s="1" t="s">
        <v>34</v>
      </c>
      <c r="BK102" s="167"/>
      <c r="BU102" s="167"/>
      <c r="CE102" s="167"/>
    </row>
    <row r="103" spans="1:87">
      <c r="A103" s="4">
        <v>102</v>
      </c>
      <c r="B103" s="172">
        <v>33041</v>
      </c>
      <c r="C103" s="173" t="s">
        <v>138</v>
      </c>
      <c r="D103" s="1" t="s">
        <v>170</v>
      </c>
      <c r="E103" s="1">
        <f t="shared" ca="1" si="4"/>
        <v>35</v>
      </c>
      <c r="F103" s="1">
        <f t="shared" si="7"/>
        <v>28</v>
      </c>
      <c r="G103" s="1" t="s">
        <v>8</v>
      </c>
      <c r="H103" s="1" t="s">
        <v>12</v>
      </c>
      <c r="I103" s="1" t="s">
        <v>12</v>
      </c>
      <c r="J103" s="1">
        <v>99</v>
      </c>
      <c r="M103" s="1">
        <v>1</v>
      </c>
      <c r="N103" s="1">
        <v>0</v>
      </c>
      <c r="O103" s="1">
        <v>0</v>
      </c>
      <c r="P103" s="1">
        <v>28</v>
      </c>
      <c r="Q103" s="1">
        <v>26</v>
      </c>
      <c r="R103" s="1">
        <v>20</v>
      </c>
      <c r="S103" s="1">
        <v>9</v>
      </c>
      <c r="T103" s="1">
        <v>90</v>
      </c>
      <c r="U103" s="1">
        <v>259</v>
      </c>
      <c r="Z103" s="1">
        <v>0</v>
      </c>
      <c r="AA103" s="1">
        <v>0</v>
      </c>
      <c r="AF103" s="167"/>
      <c r="AK103" s="167"/>
      <c r="AL103" s="1" t="s">
        <v>437</v>
      </c>
      <c r="AV103" s="168">
        <v>43388</v>
      </c>
      <c r="AW103" s="1">
        <f t="shared" ca="1" si="6"/>
        <v>6</v>
      </c>
      <c r="AX103" s="1" t="s">
        <v>445</v>
      </c>
      <c r="AY103" s="1">
        <v>0</v>
      </c>
      <c r="AZ103" s="1">
        <v>1</v>
      </c>
      <c r="BA103" s="184" t="s">
        <v>34</v>
      </c>
      <c r="BB103" s="1" t="s">
        <v>34</v>
      </c>
      <c r="BK103" s="167"/>
      <c r="BU103" s="167"/>
      <c r="CE103" s="167"/>
      <c r="CI103" s="15" t="s">
        <v>203</v>
      </c>
    </row>
    <row r="104" spans="1:87" ht="28.8">
      <c r="A104" s="4">
        <v>103</v>
      </c>
      <c r="B104" s="171">
        <v>21457</v>
      </c>
      <c r="C104" s="173" t="s">
        <v>138</v>
      </c>
      <c r="D104" s="1" t="s">
        <v>418</v>
      </c>
      <c r="E104" s="1">
        <f t="shared" ca="1" si="4"/>
        <v>66</v>
      </c>
      <c r="F104" s="1">
        <f t="shared" si="7"/>
        <v>62</v>
      </c>
      <c r="G104" s="1" t="s">
        <v>5</v>
      </c>
      <c r="H104" s="1" t="s">
        <v>14</v>
      </c>
      <c r="I104" s="1" t="s">
        <v>12</v>
      </c>
      <c r="J104" s="1">
        <v>179</v>
      </c>
      <c r="K104" s="1">
        <v>81</v>
      </c>
      <c r="M104" s="1">
        <v>0</v>
      </c>
      <c r="N104" s="1">
        <v>0</v>
      </c>
      <c r="O104" s="1">
        <v>0</v>
      </c>
      <c r="P104" s="1">
        <v>123</v>
      </c>
      <c r="Q104" s="1">
        <v>116</v>
      </c>
      <c r="R104" s="1">
        <v>148</v>
      </c>
      <c r="S104" s="1">
        <v>51</v>
      </c>
      <c r="T104" s="1">
        <v>79</v>
      </c>
      <c r="U104" s="1">
        <v>69</v>
      </c>
      <c r="V104" s="1">
        <v>30</v>
      </c>
      <c r="W104" s="1">
        <v>6590</v>
      </c>
      <c r="X104" s="1">
        <v>0</v>
      </c>
      <c r="Y104" s="1">
        <v>0</v>
      </c>
      <c r="Z104" s="1">
        <v>0</v>
      </c>
      <c r="AA104" s="1">
        <v>0</v>
      </c>
      <c r="AB104" s="166" t="s">
        <v>83</v>
      </c>
      <c r="AF104" s="167"/>
      <c r="AG104" s="166"/>
      <c r="AK104" s="167"/>
      <c r="AL104" s="1" t="s">
        <v>438</v>
      </c>
      <c r="AM104" s="1" t="s">
        <v>186</v>
      </c>
      <c r="AN104" s="1" t="s">
        <v>438</v>
      </c>
      <c r="AR104" s="1" t="s">
        <v>438</v>
      </c>
      <c r="AT104" s="1" t="s">
        <v>440</v>
      </c>
      <c r="AV104" s="168">
        <v>44218</v>
      </c>
      <c r="AW104" s="1">
        <f t="shared" ca="1" si="6"/>
        <v>4</v>
      </c>
      <c r="AX104" s="1" t="s">
        <v>63</v>
      </c>
      <c r="AY104" s="1">
        <v>4.99</v>
      </c>
      <c r="BA104" s="184" t="s">
        <v>356</v>
      </c>
      <c r="BB104" s="1" t="s">
        <v>447</v>
      </c>
      <c r="BC104" s="1" t="s">
        <v>481</v>
      </c>
      <c r="BD104" s="1">
        <v>1</v>
      </c>
      <c r="BE104" s="1">
        <v>1</v>
      </c>
      <c r="BH104" s="1">
        <v>1</v>
      </c>
      <c r="BK104" s="167"/>
      <c r="BU104" s="167"/>
      <c r="CE104" s="167"/>
      <c r="CI104" s="15" t="s">
        <v>204</v>
      </c>
    </row>
    <row r="105" spans="1:87">
      <c r="A105" s="4">
        <v>104</v>
      </c>
      <c r="B105" s="172">
        <v>20990</v>
      </c>
      <c r="C105" s="173" t="s">
        <v>138</v>
      </c>
      <c r="D105" s="1" t="s">
        <v>418</v>
      </c>
      <c r="E105" s="1">
        <f t="shared" ca="1" si="4"/>
        <v>68</v>
      </c>
      <c r="F105" s="1">
        <f t="shared" si="7"/>
        <v>66</v>
      </c>
      <c r="G105" s="1" t="s">
        <v>8</v>
      </c>
      <c r="H105" s="1" t="s">
        <v>14</v>
      </c>
      <c r="J105" s="1">
        <v>174</v>
      </c>
      <c r="K105" s="1">
        <v>70</v>
      </c>
      <c r="M105" s="1">
        <v>0</v>
      </c>
      <c r="N105" s="1">
        <v>1</v>
      </c>
      <c r="O105" s="1">
        <v>0</v>
      </c>
      <c r="P105" s="1">
        <v>50</v>
      </c>
      <c r="Q105" s="1">
        <v>146</v>
      </c>
      <c r="R105" s="1">
        <v>571</v>
      </c>
      <c r="T105" s="1">
        <v>55</v>
      </c>
      <c r="U105" s="1">
        <v>174</v>
      </c>
      <c r="V105" s="1">
        <v>35</v>
      </c>
      <c r="W105" s="1" t="s">
        <v>82</v>
      </c>
      <c r="X105" s="1">
        <v>0</v>
      </c>
      <c r="Y105" s="1">
        <v>0</v>
      </c>
      <c r="Z105" s="1">
        <v>0</v>
      </c>
      <c r="AA105" s="1">
        <v>0</v>
      </c>
      <c r="AC105" s="1" t="s">
        <v>83</v>
      </c>
      <c r="AD105" s="1" t="s">
        <v>83</v>
      </c>
      <c r="AF105" s="167"/>
      <c r="AK105" s="167"/>
      <c r="AL105" s="1" t="s">
        <v>438</v>
      </c>
      <c r="AM105" s="1" t="s">
        <v>84</v>
      </c>
      <c r="AV105" s="168">
        <v>45446</v>
      </c>
      <c r="AW105" s="1">
        <f t="shared" ca="1" si="6"/>
        <v>1</v>
      </c>
      <c r="AX105" s="1" t="s">
        <v>445</v>
      </c>
      <c r="AY105" s="1">
        <v>0</v>
      </c>
      <c r="AZ105" s="1">
        <v>1</v>
      </c>
      <c r="BA105" s="184" t="s">
        <v>356</v>
      </c>
      <c r="BB105" s="1" t="s">
        <v>34</v>
      </c>
      <c r="BK105" s="167"/>
      <c r="BU105" s="167"/>
      <c r="CE105" s="167"/>
      <c r="CI105" s="15" t="s">
        <v>205</v>
      </c>
    </row>
    <row r="106" spans="1:87" ht="43.2">
      <c r="A106" s="4">
        <v>105</v>
      </c>
      <c r="B106" s="172">
        <v>31072</v>
      </c>
      <c r="C106" s="173" t="s">
        <v>138</v>
      </c>
      <c r="D106" s="1" t="s">
        <v>418</v>
      </c>
      <c r="E106" s="1">
        <f t="shared" ca="1" si="4"/>
        <v>40</v>
      </c>
      <c r="F106" s="1">
        <f t="shared" si="7"/>
        <v>38</v>
      </c>
      <c r="G106" s="1" t="s">
        <v>8</v>
      </c>
      <c r="H106" s="1" t="s">
        <v>12</v>
      </c>
      <c r="I106" s="1" t="s">
        <v>12</v>
      </c>
      <c r="J106" s="1">
        <v>191</v>
      </c>
      <c r="K106" s="1">
        <v>87</v>
      </c>
      <c r="M106" s="1">
        <v>0</v>
      </c>
      <c r="N106" s="1">
        <v>0</v>
      </c>
      <c r="O106" s="1">
        <v>0</v>
      </c>
      <c r="P106" s="1">
        <v>38</v>
      </c>
      <c r="Q106" s="1">
        <v>21</v>
      </c>
      <c r="R106" s="1">
        <v>33</v>
      </c>
      <c r="S106" s="1">
        <v>12</v>
      </c>
      <c r="T106" s="1">
        <v>68</v>
      </c>
      <c r="U106" s="1">
        <v>190</v>
      </c>
      <c r="X106" s="1">
        <v>1</v>
      </c>
      <c r="Y106" s="1">
        <v>0</v>
      </c>
      <c r="Z106" s="1">
        <v>0</v>
      </c>
      <c r="AA106" s="1">
        <v>0</v>
      </c>
      <c r="AC106" s="1" t="s">
        <v>110</v>
      </c>
      <c r="AF106" s="167"/>
      <c r="AK106" s="167"/>
      <c r="AL106" s="1" t="s">
        <v>437</v>
      </c>
      <c r="AV106" s="168">
        <v>45188</v>
      </c>
      <c r="AW106" s="1">
        <f t="shared" ca="1" si="6"/>
        <v>1</v>
      </c>
      <c r="AX106" s="1" t="s">
        <v>445</v>
      </c>
      <c r="AY106" s="1">
        <v>0</v>
      </c>
      <c r="AZ106" s="1">
        <v>1</v>
      </c>
      <c r="BA106" s="184" t="s">
        <v>356</v>
      </c>
      <c r="BB106" s="1" t="s">
        <v>448</v>
      </c>
      <c r="BE106" s="1">
        <v>1</v>
      </c>
      <c r="BF106" s="1">
        <v>1</v>
      </c>
      <c r="BI106" s="1">
        <v>1</v>
      </c>
      <c r="BJ106" s="1">
        <v>1</v>
      </c>
      <c r="BK106" s="167"/>
      <c r="BU106" s="167"/>
      <c r="CE106" s="167"/>
      <c r="CI106" s="15" t="s">
        <v>206</v>
      </c>
    </row>
    <row r="107" spans="1:87" ht="57.6">
      <c r="A107" s="4">
        <v>106</v>
      </c>
      <c r="B107" s="172">
        <v>23256</v>
      </c>
      <c r="C107" s="173" t="s">
        <v>138</v>
      </c>
      <c r="D107" s="1" t="s">
        <v>170</v>
      </c>
      <c r="E107" s="1">
        <f t="shared" ca="1" si="4"/>
        <v>61</v>
      </c>
      <c r="F107" s="1">
        <f t="shared" si="7"/>
        <v>57</v>
      </c>
      <c r="G107" s="1" t="s">
        <v>419</v>
      </c>
      <c r="H107" s="1" t="s">
        <v>12</v>
      </c>
      <c r="I107" s="1" t="s">
        <v>12</v>
      </c>
      <c r="J107" s="1">
        <v>159</v>
      </c>
      <c r="K107" s="1">
        <v>52</v>
      </c>
      <c r="M107" s="1">
        <v>0</v>
      </c>
      <c r="N107" s="1">
        <v>0</v>
      </c>
      <c r="O107" s="1">
        <v>0</v>
      </c>
      <c r="P107" s="1">
        <v>256</v>
      </c>
      <c r="Q107" s="1">
        <v>317</v>
      </c>
      <c r="R107" s="1">
        <v>164</v>
      </c>
      <c r="S107" s="1">
        <v>10</v>
      </c>
      <c r="T107" s="1">
        <v>100</v>
      </c>
      <c r="U107" s="1">
        <v>56</v>
      </c>
      <c r="V107" s="1">
        <v>44</v>
      </c>
      <c r="W107" s="1">
        <v>3335</v>
      </c>
      <c r="X107" s="1">
        <v>0</v>
      </c>
      <c r="Y107" s="1">
        <v>21</v>
      </c>
      <c r="Z107" s="1">
        <v>0</v>
      </c>
      <c r="AA107" s="1">
        <v>0</v>
      </c>
      <c r="AF107" s="167"/>
      <c r="AK107" s="167"/>
      <c r="AL107" s="1" t="s">
        <v>438</v>
      </c>
      <c r="AM107" s="1" t="s">
        <v>84</v>
      </c>
      <c r="AR107" s="1" t="s">
        <v>439</v>
      </c>
      <c r="AV107" s="168">
        <v>44175</v>
      </c>
      <c r="AW107" s="1">
        <f t="shared" ca="1" si="6"/>
        <v>4</v>
      </c>
      <c r="AX107" s="1" t="s">
        <v>445</v>
      </c>
      <c r="AY107" s="1">
        <v>5</v>
      </c>
      <c r="BA107" s="184" t="s">
        <v>356</v>
      </c>
      <c r="BB107" s="1" t="s">
        <v>448</v>
      </c>
      <c r="BD107" s="1">
        <v>1</v>
      </c>
      <c r="BK107" s="167"/>
      <c r="BL107" s="1" t="s">
        <v>447</v>
      </c>
      <c r="BM107" s="1" t="s">
        <v>480</v>
      </c>
      <c r="BN107" s="1" t="s">
        <v>483</v>
      </c>
      <c r="BO107" s="1">
        <v>1</v>
      </c>
      <c r="BR107" s="1">
        <v>1</v>
      </c>
      <c r="BS107" s="1">
        <v>1</v>
      </c>
      <c r="BU107" s="167"/>
      <c r="BV107" s="1" t="s">
        <v>446</v>
      </c>
      <c r="BX107" s="1" t="s">
        <v>482</v>
      </c>
      <c r="BY107" s="1">
        <v>0</v>
      </c>
      <c r="CE107" s="167"/>
      <c r="CI107" s="15" t="s">
        <v>207</v>
      </c>
    </row>
    <row r="108" spans="1:87" ht="28.8">
      <c r="A108" s="4">
        <v>107</v>
      </c>
      <c r="B108" s="172">
        <v>24729</v>
      </c>
      <c r="C108" s="173" t="s">
        <v>138</v>
      </c>
      <c r="D108" s="1" t="s">
        <v>418</v>
      </c>
      <c r="E108" s="1">
        <f t="shared" ca="1" si="4"/>
        <v>57</v>
      </c>
      <c r="F108" s="1">
        <f t="shared" si="7"/>
        <v>56</v>
      </c>
      <c r="G108" s="1" t="s">
        <v>5</v>
      </c>
      <c r="H108" s="1" t="s">
        <v>12</v>
      </c>
      <c r="I108" s="1" t="s">
        <v>14</v>
      </c>
      <c r="J108" s="1">
        <v>172</v>
      </c>
      <c r="K108" s="1">
        <v>63</v>
      </c>
      <c r="M108" s="1">
        <v>0</v>
      </c>
      <c r="N108" s="1">
        <v>0</v>
      </c>
      <c r="O108" s="1">
        <v>0</v>
      </c>
      <c r="P108" s="1">
        <v>38</v>
      </c>
      <c r="Q108" s="1">
        <v>26</v>
      </c>
      <c r="R108" s="1">
        <v>59</v>
      </c>
      <c r="S108" s="1">
        <v>14</v>
      </c>
      <c r="T108" s="1">
        <v>54</v>
      </c>
      <c r="U108" s="1">
        <v>65</v>
      </c>
      <c r="V108" s="1">
        <v>37</v>
      </c>
      <c r="X108" s="1">
        <v>0</v>
      </c>
      <c r="Y108" s="1" t="s">
        <v>208</v>
      </c>
      <c r="Z108" s="1">
        <v>0</v>
      </c>
      <c r="AA108" s="1">
        <v>0</v>
      </c>
      <c r="AC108" s="1" t="s">
        <v>83</v>
      </c>
      <c r="AF108" s="167"/>
      <c r="AK108" s="167"/>
      <c r="AL108" s="1" t="s">
        <v>438</v>
      </c>
      <c r="AM108" s="1" t="s">
        <v>88</v>
      </c>
      <c r="AN108" s="1" t="s">
        <v>438</v>
      </c>
      <c r="AV108" s="168">
        <v>45483</v>
      </c>
      <c r="AW108" s="1">
        <f t="shared" ca="1" si="6"/>
        <v>1</v>
      </c>
      <c r="AX108" s="1" t="s">
        <v>63</v>
      </c>
      <c r="AY108" s="1">
        <v>0</v>
      </c>
      <c r="AZ108" s="1">
        <v>1</v>
      </c>
      <c r="BA108" s="184" t="s">
        <v>356</v>
      </c>
      <c r="BB108" s="1" t="s">
        <v>34</v>
      </c>
      <c r="BK108" s="167"/>
      <c r="BU108" s="167"/>
      <c r="CE108" s="167"/>
      <c r="CI108" s="15" t="s">
        <v>209</v>
      </c>
    </row>
    <row r="109" spans="1:87">
      <c r="A109" s="4">
        <v>108</v>
      </c>
      <c r="B109" s="172">
        <v>33622</v>
      </c>
      <c r="C109" s="173" t="s">
        <v>138</v>
      </c>
      <c r="D109" s="1" t="s">
        <v>170</v>
      </c>
      <c r="E109" s="1">
        <f t="shared" ca="1" si="4"/>
        <v>33</v>
      </c>
      <c r="F109" s="1">
        <f t="shared" si="7"/>
        <v>21</v>
      </c>
      <c r="G109" s="1" t="s">
        <v>8</v>
      </c>
      <c r="H109" s="1" t="s">
        <v>12</v>
      </c>
      <c r="I109" s="1" t="s">
        <v>12</v>
      </c>
      <c r="J109" s="1">
        <v>160</v>
      </c>
      <c r="K109" s="1">
        <v>72</v>
      </c>
      <c r="M109" s="1">
        <v>0</v>
      </c>
      <c r="N109" s="1">
        <v>0</v>
      </c>
      <c r="O109" s="1">
        <v>0</v>
      </c>
      <c r="P109" s="1">
        <v>53</v>
      </c>
      <c r="Q109" s="1">
        <v>79</v>
      </c>
      <c r="R109" s="1">
        <v>22</v>
      </c>
      <c r="S109" s="1">
        <v>1</v>
      </c>
      <c r="T109" s="1">
        <v>87</v>
      </c>
      <c r="V109" s="1">
        <v>43</v>
      </c>
      <c r="W109" s="1" t="s">
        <v>69</v>
      </c>
      <c r="Y109" s="1" t="s">
        <v>210</v>
      </c>
      <c r="Z109" s="1">
        <v>0</v>
      </c>
      <c r="AA109" s="1">
        <v>0</v>
      </c>
      <c r="AC109" s="1" t="s">
        <v>91</v>
      </c>
      <c r="AF109" s="167"/>
      <c r="AK109" s="167"/>
      <c r="AL109" s="1" t="s">
        <v>437</v>
      </c>
      <c r="AV109" s="168">
        <v>41376</v>
      </c>
      <c r="AW109" s="1">
        <f t="shared" ca="1" si="6"/>
        <v>12</v>
      </c>
      <c r="AX109" s="1" t="s">
        <v>445</v>
      </c>
      <c r="AY109" s="1">
        <v>0</v>
      </c>
      <c r="BA109" s="184" t="s">
        <v>356</v>
      </c>
      <c r="BB109" s="1" t="s">
        <v>34</v>
      </c>
      <c r="BK109" s="167"/>
      <c r="BU109" s="167"/>
      <c r="CE109" s="167"/>
    </row>
    <row r="110" spans="1:87" ht="43.2">
      <c r="A110" s="4">
        <v>109</v>
      </c>
      <c r="B110" s="171">
        <v>29722</v>
      </c>
      <c r="C110" s="173" t="s">
        <v>138</v>
      </c>
      <c r="D110" s="1" t="s">
        <v>418</v>
      </c>
      <c r="E110" s="1">
        <f t="shared" ca="1" si="4"/>
        <v>44</v>
      </c>
      <c r="F110" s="1">
        <f t="shared" si="7"/>
        <v>35</v>
      </c>
      <c r="G110" s="1" t="s">
        <v>419</v>
      </c>
      <c r="H110" s="1" t="s">
        <v>12</v>
      </c>
      <c r="I110" s="1" t="s">
        <v>12</v>
      </c>
      <c r="J110" s="1">
        <v>170</v>
      </c>
      <c r="K110" s="1">
        <v>76</v>
      </c>
      <c r="M110" s="1">
        <v>0</v>
      </c>
      <c r="N110" s="1">
        <v>0</v>
      </c>
      <c r="O110" s="1">
        <v>0</v>
      </c>
      <c r="P110" s="1">
        <v>144</v>
      </c>
      <c r="Q110" s="1">
        <v>189</v>
      </c>
      <c r="R110" s="1">
        <v>85</v>
      </c>
      <c r="S110" s="1">
        <v>20</v>
      </c>
      <c r="T110" s="1">
        <v>59</v>
      </c>
      <c r="U110" s="1">
        <v>59</v>
      </c>
      <c r="V110" s="1">
        <v>32</v>
      </c>
      <c r="X110" s="1">
        <v>0</v>
      </c>
      <c r="Y110" s="1" t="s">
        <v>211</v>
      </c>
      <c r="Z110" s="1">
        <v>0</v>
      </c>
      <c r="AA110" s="1">
        <v>0</v>
      </c>
      <c r="AB110" s="166"/>
      <c r="AC110" s="1" t="s">
        <v>83</v>
      </c>
      <c r="AD110" s="1" t="s">
        <v>83</v>
      </c>
      <c r="AF110" s="167"/>
      <c r="AG110" s="166"/>
      <c r="AH110" s="1" t="s">
        <v>83</v>
      </c>
      <c r="AK110" s="167"/>
      <c r="AL110" s="1" t="s">
        <v>438</v>
      </c>
      <c r="AV110" s="168">
        <v>42850</v>
      </c>
      <c r="AW110" s="1">
        <f t="shared" ca="1" si="6"/>
        <v>8</v>
      </c>
      <c r="AX110" s="1" t="s">
        <v>445</v>
      </c>
      <c r="AY110" s="1">
        <v>7.54</v>
      </c>
      <c r="BA110" s="184" t="s">
        <v>356</v>
      </c>
      <c r="BB110" s="1" t="s">
        <v>448</v>
      </c>
      <c r="BD110" s="1">
        <v>1</v>
      </c>
      <c r="BE110" s="1">
        <v>1</v>
      </c>
      <c r="BK110" s="167" t="s">
        <v>467</v>
      </c>
      <c r="BL110" s="1" t="s">
        <v>447</v>
      </c>
      <c r="BN110" s="1" t="s">
        <v>483</v>
      </c>
      <c r="BU110" s="167"/>
      <c r="BY110" s="1">
        <v>1</v>
      </c>
      <c r="CE110" s="167">
        <v>7</v>
      </c>
      <c r="CI110" s="15" t="s">
        <v>212</v>
      </c>
    </row>
    <row r="111" spans="1:87">
      <c r="A111" s="4">
        <v>110</v>
      </c>
      <c r="B111" s="172">
        <v>32406</v>
      </c>
      <c r="C111" s="173" t="s">
        <v>138</v>
      </c>
      <c r="D111" s="1" t="s">
        <v>170</v>
      </c>
      <c r="E111" s="1">
        <f t="shared" ca="1" si="4"/>
        <v>36</v>
      </c>
      <c r="F111" s="1">
        <f t="shared" si="7"/>
        <v>26</v>
      </c>
      <c r="G111" s="1" t="s">
        <v>6</v>
      </c>
      <c r="H111" s="1" t="s">
        <v>12</v>
      </c>
      <c r="I111" s="1" t="s">
        <v>12</v>
      </c>
      <c r="M111" s="1">
        <v>0</v>
      </c>
      <c r="N111" s="1">
        <v>0</v>
      </c>
      <c r="O111" s="1">
        <v>0</v>
      </c>
      <c r="P111" s="1">
        <v>140</v>
      </c>
      <c r="Q111" s="1">
        <v>105</v>
      </c>
      <c r="R111" s="1">
        <v>150</v>
      </c>
      <c r="S111" s="1">
        <v>12</v>
      </c>
      <c r="T111" s="1">
        <v>82</v>
      </c>
      <c r="U111" s="1">
        <v>240</v>
      </c>
      <c r="V111" s="1">
        <v>41</v>
      </c>
      <c r="W111" s="1">
        <v>14183</v>
      </c>
      <c r="X111" s="1">
        <v>0</v>
      </c>
      <c r="Y111" s="1">
        <v>150</v>
      </c>
      <c r="Z111" s="1">
        <v>0</v>
      </c>
      <c r="AA111" s="1">
        <v>0</v>
      </c>
      <c r="AC111" s="1" t="s">
        <v>128</v>
      </c>
      <c r="AF111" s="167"/>
      <c r="AG111" s="1" t="s">
        <v>83</v>
      </c>
      <c r="AH111" s="1" t="s">
        <v>106</v>
      </c>
      <c r="AK111" s="167"/>
      <c r="AL111" s="1" t="s">
        <v>439</v>
      </c>
      <c r="AM111" s="1" t="s">
        <v>84</v>
      </c>
      <c r="AV111" s="168">
        <v>42005</v>
      </c>
      <c r="AW111" s="1">
        <f t="shared" ca="1" si="6"/>
        <v>10</v>
      </c>
      <c r="AX111" s="1" t="s">
        <v>445</v>
      </c>
      <c r="AY111" s="1">
        <v>8.35</v>
      </c>
      <c r="BA111" s="184"/>
      <c r="BB111" s="1" t="s">
        <v>447</v>
      </c>
      <c r="BD111" s="1">
        <v>1</v>
      </c>
      <c r="BK111" s="167"/>
      <c r="BL111" s="1" t="s">
        <v>447</v>
      </c>
      <c r="BU111" s="167"/>
      <c r="CE111" s="167"/>
    </row>
    <row r="112" spans="1:87">
      <c r="A112" s="4">
        <v>111</v>
      </c>
      <c r="B112" s="172">
        <v>26759</v>
      </c>
      <c r="C112" s="173" t="s">
        <v>138</v>
      </c>
      <c r="D112" s="1" t="s">
        <v>418</v>
      </c>
      <c r="E112" s="1">
        <f t="shared" ca="1" si="4"/>
        <v>52</v>
      </c>
      <c r="F112" s="1">
        <f t="shared" si="7"/>
        <v>40</v>
      </c>
      <c r="G112" s="1" t="s">
        <v>11</v>
      </c>
      <c r="H112" s="1" t="s">
        <v>14</v>
      </c>
      <c r="I112" s="1" t="s">
        <v>14</v>
      </c>
      <c r="J112" s="1">
        <v>175</v>
      </c>
      <c r="K112" s="1">
        <v>68</v>
      </c>
      <c r="M112" s="1">
        <v>0</v>
      </c>
      <c r="N112" s="1">
        <v>0</v>
      </c>
      <c r="O112" s="1">
        <v>0</v>
      </c>
      <c r="P112" s="1">
        <v>476</v>
      </c>
      <c r="Q112" s="1">
        <v>176</v>
      </c>
      <c r="R112" s="1">
        <v>352</v>
      </c>
      <c r="S112" s="1">
        <v>71</v>
      </c>
      <c r="T112" s="1">
        <v>88</v>
      </c>
      <c r="U112" s="1">
        <v>150</v>
      </c>
      <c r="W112" s="1">
        <v>1000</v>
      </c>
      <c r="X112" s="1">
        <v>0</v>
      </c>
      <c r="Z112" s="1">
        <v>1</v>
      </c>
      <c r="AC112" s="1" t="s">
        <v>83</v>
      </c>
      <c r="AD112" s="1" t="s">
        <v>83</v>
      </c>
      <c r="AF112" s="167"/>
      <c r="AK112" s="167"/>
      <c r="AL112" s="1" t="s">
        <v>438</v>
      </c>
      <c r="AM112" s="1" t="s">
        <v>88</v>
      </c>
      <c r="AV112" s="168">
        <v>41722</v>
      </c>
      <c r="AW112" s="1">
        <f t="shared" ca="1" si="6"/>
        <v>11</v>
      </c>
      <c r="AX112" s="1" t="s">
        <v>444</v>
      </c>
      <c r="AY112" s="1">
        <v>0</v>
      </c>
      <c r="BA112" s="184" t="s">
        <v>356</v>
      </c>
      <c r="BB112" s="1" t="s">
        <v>34</v>
      </c>
      <c r="BK112" s="167"/>
      <c r="BU112" s="167"/>
      <c r="CE112" s="167"/>
    </row>
    <row r="113" spans="1:87">
      <c r="A113" s="4">
        <v>112</v>
      </c>
      <c r="B113" s="172">
        <v>35430</v>
      </c>
      <c r="C113" s="173" t="s">
        <v>138</v>
      </c>
      <c r="D113" s="1" t="s">
        <v>418</v>
      </c>
      <c r="E113" s="1">
        <f t="shared" ca="1" si="4"/>
        <v>28</v>
      </c>
      <c r="F113" s="1">
        <f t="shared" si="7"/>
        <v>22</v>
      </c>
      <c r="G113" s="1" t="s">
        <v>8</v>
      </c>
      <c r="H113" s="1" t="s">
        <v>12</v>
      </c>
      <c r="I113" s="1" t="s">
        <v>12</v>
      </c>
      <c r="J113" s="1">
        <v>170</v>
      </c>
      <c r="K113" s="1">
        <v>79</v>
      </c>
      <c r="M113" s="1">
        <v>0</v>
      </c>
      <c r="N113" s="1">
        <v>0</v>
      </c>
      <c r="O113" s="1">
        <v>0</v>
      </c>
      <c r="P113" s="1">
        <v>66</v>
      </c>
      <c r="Q113" s="1">
        <v>134</v>
      </c>
      <c r="R113" s="1">
        <v>33</v>
      </c>
      <c r="S113" s="1">
        <v>11</v>
      </c>
      <c r="T113" s="1">
        <v>83</v>
      </c>
      <c r="U113" s="1">
        <v>198</v>
      </c>
      <c r="X113" s="1">
        <v>0</v>
      </c>
      <c r="Y113" s="1" t="s">
        <v>214</v>
      </c>
      <c r="Z113" s="1">
        <v>0</v>
      </c>
      <c r="AA113" s="1">
        <v>0</v>
      </c>
      <c r="AC113" s="1" t="s">
        <v>106</v>
      </c>
      <c r="AF113" s="167"/>
      <c r="AH113" s="1" t="s">
        <v>91</v>
      </c>
      <c r="AK113" s="167"/>
      <c r="AL113" s="1" t="s">
        <v>437</v>
      </c>
      <c r="AV113" s="168">
        <v>43535</v>
      </c>
      <c r="AW113" s="1">
        <f t="shared" ca="1" si="6"/>
        <v>6</v>
      </c>
      <c r="AX113" s="1" t="s">
        <v>445</v>
      </c>
      <c r="AY113" s="1">
        <v>0</v>
      </c>
      <c r="AZ113" s="1">
        <v>1</v>
      </c>
      <c r="BA113" s="184" t="s">
        <v>356</v>
      </c>
      <c r="BB113" s="1" t="s">
        <v>34</v>
      </c>
      <c r="BK113" s="167"/>
      <c r="BU113" s="167"/>
      <c r="CE113" s="167"/>
    </row>
    <row r="114" spans="1:87">
      <c r="A114" s="4">
        <v>113</v>
      </c>
      <c r="B114" s="172">
        <v>39077</v>
      </c>
      <c r="C114" s="173" t="s">
        <v>138</v>
      </c>
      <c r="D114" s="1" t="s">
        <v>418</v>
      </c>
      <c r="E114" s="1">
        <f t="shared" ca="1" si="4"/>
        <v>18</v>
      </c>
      <c r="F114" s="1">
        <f t="shared" si="7"/>
        <v>17</v>
      </c>
      <c r="G114" s="1" t="s">
        <v>8</v>
      </c>
      <c r="H114" s="1" t="s">
        <v>12</v>
      </c>
      <c r="I114" s="1" t="s">
        <v>12</v>
      </c>
      <c r="J114" s="1">
        <v>185</v>
      </c>
      <c r="K114" s="1">
        <v>78</v>
      </c>
      <c r="M114" s="1">
        <v>0</v>
      </c>
      <c r="N114" s="1">
        <v>0</v>
      </c>
      <c r="O114" s="1">
        <v>0</v>
      </c>
      <c r="P114" s="1">
        <v>18</v>
      </c>
      <c r="Q114" s="1">
        <v>9</v>
      </c>
      <c r="R114" s="1">
        <v>17</v>
      </c>
      <c r="S114" s="1">
        <v>7</v>
      </c>
      <c r="T114" s="1">
        <v>90</v>
      </c>
      <c r="U114" s="1">
        <v>178</v>
      </c>
      <c r="V114" s="1">
        <v>43</v>
      </c>
      <c r="X114" s="1">
        <v>0</v>
      </c>
      <c r="Y114" s="1">
        <v>46</v>
      </c>
      <c r="Z114" s="1">
        <v>0</v>
      </c>
      <c r="AA114" s="1">
        <v>0</v>
      </c>
      <c r="AD114" s="1" t="s">
        <v>91</v>
      </c>
      <c r="AF114" s="167"/>
      <c r="AK114" s="167"/>
      <c r="AL114" s="1" t="s">
        <v>437</v>
      </c>
      <c r="AV114" s="168">
        <v>45293</v>
      </c>
      <c r="AW114" s="1">
        <f t="shared" ca="1" si="6"/>
        <v>1</v>
      </c>
      <c r="AX114" s="1" t="s">
        <v>445</v>
      </c>
      <c r="AY114" s="1">
        <v>0</v>
      </c>
      <c r="BA114" s="184" t="s">
        <v>34</v>
      </c>
      <c r="BB114" s="1" t="s">
        <v>34</v>
      </c>
      <c r="BK114" s="167"/>
      <c r="BU114" s="167"/>
      <c r="CE114" s="167"/>
    </row>
    <row r="115" spans="1:87">
      <c r="A115" s="4">
        <v>114</v>
      </c>
      <c r="B115" s="172">
        <v>28604</v>
      </c>
      <c r="C115" s="173" t="s">
        <v>138</v>
      </c>
      <c r="D115" s="1" t="s">
        <v>418</v>
      </c>
      <c r="E115" s="1">
        <f t="shared" ca="1" si="4"/>
        <v>47</v>
      </c>
      <c r="F115" s="1">
        <f t="shared" si="7"/>
        <v>40</v>
      </c>
      <c r="G115" s="1" t="s">
        <v>8</v>
      </c>
      <c r="H115" s="1" t="s">
        <v>12</v>
      </c>
      <c r="I115" s="1" t="s">
        <v>12</v>
      </c>
      <c r="M115" s="1">
        <v>1</v>
      </c>
      <c r="N115" s="1">
        <v>0</v>
      </c>
      <c r="O115" s="1">
        <v>0</v>
      </c>
      <c r="P115" s="1">
        <v>46</v>
      </c>
      <c r="Q115" s="1">
        <v>57</v>
      </c>
      <c r="R115" s="1">
        <v>78</v>
      </c>
      <c r="U115" s="1">
        <v>88</v>
      </c>
      <c r="W115" s="1">
        <v>38</v>
      </c>
      <c r="Y115" s="1">
        <v>300</v>
      </c>
      <c r="Z115" s="1">
        <v>0</v>
      </c>
      <c r="AA115" s="1">
        <v>0</v>
      </c>
      <c r="AC115" s="1" t="s">
        <v>83</v>
      </c>
      <c r="AD115" s="1" t="s">
        <v>106</v>
      </c>
      <c r="AF115" s="167"/>
      <c r="AK115" s="167"/>
      <c r="AL115" s="1" t="s">
        <v>437</v>
      </c>
      <c r="AV115" s="168">
        <v>43306</v>
      </c>
      <c r="AW115" s="1">
        <f t="shared" ca="1" si="6"/>
        <v>6</v>
      </c>
      <c r="AX115" s="1" t="s">
        <v>445</v>
      </c>
      <c r="AY115" s="1">
        <v>8.7799999999999994</v>
      </c>
      <c r="BA115" s="184"/>
      <c r="BB115" s="1" t="s">
        <v>448</v>
      </c>
      <c r="BC115" s="1" t="s">
        <v>480</v>
      </c>
      <c r="BK115" s="167"/>
      <c r="BU115" s="167"/>
      <c r="CE115" s="167"/>
      <c r="CG115" s="1">
        <v>1</v>
      </c>
    </row>
    <row r="116" spans="1:87">
      <c r="A116" s="4">
        <v>115</v>
      </c>
      <c r="B116" s="172">
        <v>37704</v>
      </c>
      <c r="C116" s="173" t="s">
        <v>138</v>
      </c>
      <c r="D116" s="1" t="s">
        <v>418</v>
      </c>
      <c r="E116" s="1">
        <f t="shared" ca="1" si="4"/>
        <v>22</v>
      </c>
      <c r="F116" s="1">
        <f t="shared" si="7"/>
        <v>16</v>
      </c>
      <c r="G116" s="1" t="s">
        <v>8</v>
      </c>
      <c r="H116" s="1" t="s">
        <v>12</v>
      </c>
      <c r="I116" s="1" t="s">
        <v>12</v>
      </c>
      <c r="J116" s="1">
        <v>176</v>
      </c>
      <c r="K116" s="1">
        <v>53</v>
      </c>
      <c r="M116" s="1">
        <v>0</v>
      </c>
      <c r="N116" s="1">
        <v>0</v>
      </c>
      <c r="O116" s="1">
        <v>0</v>
      </c>
      <c r="P116" s="1">
        <v>41</v>
      </c>
      <c r="Q116" s="1">
        <v>37</v>
      </c>
      <c r="R116" s="1">
        <v>84</v>
      </c>
      <c r="S116" s="1">
        <v>39</v>
      </c>
      <c r="T116" s="1">
        <v>74</v>
      </c>
      <c r="U116" s="1">
        <v>47</v>
      </c>
      <c r="V116" s="1">
        <v>45</v>
      </c>
      <c r="W116" s="1">
        <v>7200</v>
      </c>
      <c r="X116" s="1">
        <v>0</v>
      </c>
      <c r="Y116" s="1">
        <v>0</v>
      </c>
      <c r="Z116" s="1">
        <v>0</v>
      </c>
      <c r="AA116" s="1">
        <v>0</v>
      </c>
      <c r="AD116" s="1" t="s">
        <v>128</v>
      </c>
      <c r="AF116" s="167"/>
      <c r="AK116" s="167"/>
      <c r="AL116" s="1" t="s">
        <v>437</v>
      </c>
      <c r="AV116" s="168">
        <v>43636</v>
      </c>
      <c r="AW116" s="1">
        <f t="shared" ca="1" si="6"/>
        <v>6</v>
      </c>
      <c r="AX116" s="1" t="s">
        <v>445</v>
      </c>
      <c r="AY116" s="1">
        <v>0</v>
      </c>
      <c r="AZ116" s="1">
        <v>1</v>
      </c>
      <c r="BA116" s="184" t="s">
        <v>34</v>
      </c>
      <c r="BB116" s="1" t="s">
        <v>34</v>
      </c>
      <c r="BK116" s="167"/>
      <c r="BU116" s="167"/>
      <c r="CE116" s="167"/>
    </row>
    <row r="117" spans="1:87">
      <c r="A117" s="4">
        <v>116</v>
      </c>
      <c r="B117" s="172">
        <v>30993</v>
      </c>
      <c r="C117" s="173" t="s">
        <v>138</v>
      </c>
      <c r="D117" s="1" t="s">
        <v>418</v>
      </c>
      <c r="E117" s="1">
        <f t="shared" ca="1" si="4"/>
        <v>40</v>
      </c>
      <c r="F117" s="1">
        <f t="shared" si="7"/>
        <v>39</v>
      </c>
      <c r="G117" s="1" t="s">
        <v>8</v>
      </c>
      <c r="H117" s="1" t="s">
        <v>12</v>
      </c>
      <c r="I117" s="1" t="s">
        <v>12</v>
      </c>
      <c r="J117" s="1">
        <v>183</v>
      </c>
      <c r="K117" s="1">
        <v>94</v>
      </c>
      <c r="M117" s="1">
        <v>0</v>
      </c>
      <c r="N117" s="1">
        <v>0</v>
      </c>
      <c r="O117" s="1">
        <v>0</v>
      </c>
      <c r="P117" s="1">
        <v>69</v>
      </c>
      <c r="Q117" s="1">
        <v>48</v>
      </c>
      <c r="R117" s="1">
        <v>25</v>
      </c>
      <c r="S117" s="1">
        <v>9</v>
      </c>
      <c r="U117" s="1">
        <v>275</v>
      </c>
      <c r="W117" s="1">
        <v>414</v>
      </c>
      <c r="X117" s="1">
        <v>1</v>
      </c>
      <c r="Z117" s="1">
        <v>0</v>
      </c>
      <c r="AA117" s="1">
        <v>0</v>
      </c>
      <c r="AC117" s="1" t="s">
        <v>110</v>
      </c>
      <c r="AF117" s="167"/>
      <c r="AK117" s="167"/>
      <c r="AL117" s="1" t="s">
        <v>437</v>
      </c>
      <c r="AV117" s="168">
        <v>45419</v>
      </c>
      <c r="AW117" s="1">
        <f t="shared" ca="1" si="6"/>
        <v>1</v>
      </c>
      <c r="AX117" s="1" t="s">
        <v>445</v>
      </c>
      <c r="AY117" s="1">
        <v>0</v>
      </c>
      <c r="AZ117" s="1">
        <v>1</v>
      </c>
      <c r="BA117" s="184" t="s">
        <v>356</v>
      </c>
      <c r="BB117" s="1" t="s">
        <v>34</v>
      </c>
      <c r="BK117" s="167"/>
      <c r="BU117" s="167"/>
      <c r="CE117" s="167"/>
    </row>
    <row r="118" spans="1:87">
      <c r="A118" s="4">
        <v>117</v>
      </c>
      <c r="B118" s="171">
        <v>27134</v>
      </c>
      <c r="C118" s="173" t="s">
        <v>138</v>
      </c>
      <c r="D118" s="1" t="s">
        <v>418</v>
      </c>
      <c r="E118" s="1">
        <f t="shared" ca="1" si="4"/>
        <v>51</v>
      </c>
      <c r="F118" s="1">
        <f t="shared" si="7"/>
        <v>41</v>
      </c>
      <c r="G118" s="1" t="s">
        <v>6</v>
      </c>
      <c r="H118" s="1" t="s">
        <v>12</v>
      </c>
      <c r="I118" s="1" t="s">
        <v>12</v>
      </c>
      <c r="J118" s="1">
        <v>170</v>
      </c>
      <c r="K118" s="1">
        <v>94</v>
      </c>
      <c r="M118" s="1">
        <v>0</v>
      </c>
      <c r="N118" s="1">
        <v>0</v>
      </c>
      <c r="O118" s="1">
        <v>0</v>
      </c>
      <c r="P118" s="1">
        <v>91</v>
      </c>
      <c r="Q118" s="1">
        <v>65</v>
      </c>
      <c r="S118" s="1">
        <v>5</v>
      </c>
      <c r="T118" s="1">
        <v>97</v>
      </c>
      <c r="U118" s="1">
        <v>201</v>
      </c>
      <c r="V118" s="1">
        <v>43</v>
      </c>
      <c r="W118" s="1">
        <v>8557</v>
      </c>
      <c r="X118" s="1">
        <v>0</v>
      </c>
      <c r="Y118" s="1">
        <v>247</v>
      </c>
      <c r="Z118" s="1">
        <v>0</v>
      </c>
      <c r="AA118" s="1">
        <v>0</v>
      </c>
      <c r="AB118" s="166"/>
      <c r="AC118" s="1" t="s">
        <v>83</v>
      </c>
      <c r="AD118" s="1" t="s">
        <v>110</v>
      </c>
      <c r="AF118" s="167"/>
      <c r="AG118" s="166"/>
      <c r="AH118" s="1" t="s">
        <v>128</v>
      </c>
      <c r="AK118" s="167"/>
      <c r="AL118" s="1" t="s">
        <v>437</v>
      </c>
      <c r="AV118" s="168">
        <v>42402</v>
      </c>
      <c r="AW118" s="1">
        <f t="shared" ca="1" si="6"/>
        <v>9</v>
      </c>
      <c r="AX118" s="1" t="s">
        <v>445</v>
      </c>
      <c r="AY118" s="1">
        <v>4.79</v>
      </c>
      <c r="BA118" s="184" t="s">
        <v>356</v>
      </c>
      <c r="BB118" s="1" t="s">
        <v>448</v>
      </c>
      <c r="BD118" s="1">
        <v>1</v>
      </c>
      <c r="BE118" s="1">
        <v>1</v>
      </c>
      <c r="BJ118" s="1">
        <v>1</v>
      </c>
      <c r="BK118" s="167"/>
      <c r="BL118" s="1" t="s">
        <v>446</v>
      </c>
      <c r="BM118" s="1" t="s">
        <v>480</v>
      </c>
      <c r="BN118" s="1" t="s">
        <v>482</v>
      </c>
      <c r="BU118" s="167"/>
      <c r="BV118" s="1" t="s">
        <v>447</v>
      </c>
      <c r="CE118" s="167"/>
      <c r="CI118" s="15" t="s">
        <v>215</v>
      </c>
    </row>
    <row r="119" spans="1:87">
      <c r="A119" s="4">
        <v>118</v>
      </c>
      <c r="B119" s="172">
        <v>31660</v>
      </c>
      <c r="C119" s="173" t="s">
        <v>138</v>
      </c>
      <c r="D119" s="1" t="s">
        <v>418</v>
      </c>
      <c r="E119" s="1">
        <f t="shared" ca="1" si="4"/>
        <v>38</v>
      </c>
      <c r="F119" s="1">
        <f t="shared" si="7"/>
        <v>31</v>
      </c>
      <c r="G119" s="1" t="s">
        <v>419</v>
      </c>
      <c r="H119" s="1" t="s">
        <v>12</v>
      </c>
      <c r="I119" s="1" t="s">
        <v>12</v>
      </c>
      <c r="J119" s="1">
        <v>183</v>
      </c>
      <c r="K119" s="1">
        <v>90</v>
      </c>
      <c r="M119" s="1">
        <v>0</v>
      </c>
      <c r="N119" s="1">
        <v>0</v>
      </c>
      <c r="O119" s="1">
        <v>0</v>
      </c>
      <c r="P119" s="1">
        <v>100</v>
      </c>
      <c r="Q119" s="1">
        <v>52</v>
      </c>
      <c r="R119" s="1">
        <v>26</v>
      </c>
      <c r="S119" s="1">
        <v>70</v>
      </c>
      <c r="T119" s="1">
        <v>48</v>
      </c>
      <c r="U119" s="1">
        <v>63</v>
      </c>
      <c r="V119" s="1">
        <v>24</v>
      </c>
      <c r="X119" s="1">
        <v>0</v>
      </c>
      <c r="Z119" s="1">
        <v>0</v>
      </c>
      <c r="AA119" s="1">
        <v>0</v>
      </c>
      <c r="AB119" s="1" t="s">
        <v>83</v>
      </c>
      <c r="AF119" s="167"/>
      <c r="AG119" s="1" t="s">
        <v>83</v>
      </c>
      <c r="AK119" s="167"/>
      <c r="AL119" s="1" t="s">
        <v>438</v>
      </c>
      <c r="AM119" s="1" t="s">
        <v>186</v>
      </c>
      <c r="AN119" s="1" t="s">
        <v>438</v>
      </c>
      <c r="AP119" s="1" t="s">
        <v>439</v>
      </c>
      <c r="AT119" s="1" t="s">
        <v>440</v>
      </c>
      <c r="AV119" s="168">
        <v>43220</v>
      </c>
      <c r="AW119" s="1">
        <f t="shared" ca="1" si="6"/>
        <v>7</v>
      </c>
      <c r="AX119" s="1" t="s">
        <v>445</v>
      </c>
      <c r="AY119" s="1">
        <v>5.94</v>
      </c>
      <c r="BA119" s="184"/>
      <c r="BB119" s="1" t="s">
        <v>34</v>
      </c>
      <c r="BK119" s="167"/>
      <c r="BU119" s="167"/>
      <c r="CE119" s="167"/>
    </row>
    <row r="120" spans="1:87">
      <c r="A120" s="4">
        <v>119</v>
      </c>
      <c r="B120" s="172">
        <v>21521</v>
      </c>
      <c r="C120" s="173" t="s">
        <v>138</v>
      </c>
      <c r="D120" s="1" t="s">
        <v>418</v>
      </c>
      <c r="E120" s="1">
        <f t="shared" ca="1" si="4"/>
        <v>66</v>
      </c>
      <c r="F120" s="1">
        <f t="shared" si="7"/>
        <v>62</v>
      </c>
      <c r="G120" s="1" t="s">
        <v>5</v>
      </c>
      <c r="H120" s="1" t="s">
        <v>12</v>
      </c>
      <c r="I120" s="1" t="s">
        <v>12</v>
      </c>
      <c r="M120" s="1">
        <v>0</v>
      </c>
      <c r="N120" s="1">
        <v>0</v>
      </c>
      <c r="O120" s="1">
        <v>0</v>
      </c>
      <c r="P120" s="1">
        <v>31</v>
      </c>
      <c r="Q120" s="1">
        <v>18</v>
      </c>
      <c r="R120" s="1">
        <v>10</v>
      </c>
      <c r="S120" s="1">
        <v>9</v>
      </c>
      <c r="W120" s="1">
        <v>1919</v>
      </c>
      <c r="X120" s="1">
        <v>0</v>
      </c>
      <c r="Y120" s="1">
        <v>0</v>
      </c>
      <c r="Z120" s="1">
        <v>0</v>
      </c>
      <c r="AA120" s="1">
        <v>0</v>
      </c>
      <c r="AC120" s="1" t="s">
        <v>110</v>
      </c>
      <c r="AF120" s="167"/>
      <c r="AK120" s="167"/>
      <c r="AL120" s="1" t="s">
        <v>437</v>
      </c>
      <c r="AV120" s="168">
        <v>44186</v>
      </c>
      <c r="AW120" s="1">
        <f t="shared" ca="1" si="6"/>
        <v>4</v>
      </c>
      <c r="AX120" s="1" t="s">
        <v>63</v>
      </c>
      <c r="AY120" s="1">
        <v>0</v>
      </c>
      <c r="AZ120" s="1">
        <v>1</v>
      </c>
      <c r="BA120" s="184" t="s">
        <v>356</v>
      </c>
      <c r="BB120" s="1" t="s">
        <v>34</v>
      </c>
      <c r="BK120" s="167"/>
      <c r="BU120" s="167"/>
      <c r="CE120" s="167"/>
    </row>
    <row r="121" spans="1:87">
      <c r="A121" s="4">
        <v>120</v>
      </c>
      <c r="B121" s="172">
        <v>25271</v>
      </c>
      <c r="C121" s="173" t="s">
        <v>138</v>
      </c>
      <c r="D121" s="1" t="s">
        <v>418</v>
      </c>
      <c r="E121" s="1">
        <f t="shared" ca="1" si="4"/>
        <v>56</v>
      </c>
      <c r="F121" s="1">
        <f t="shared" si="7"/>
        <v>44</v>
      </c>
      <c r="G121" s="1" t="s">
        <v>419</v>
      </c>
      <c r="H121" s="1" t="s">
        <v>13</v>
      </c>
      <c r="I121" s="1" t="s">
        <v>14</v>
      </c>
      <c r="J121" s="1">
        <v>180</v>
      </c>
      <c r="K121" s="1">
        <v>85</v>
      </c>
      <c r="M121" s="1">
        <v>0</v>
      </c>
      <c r="N121" s="1">
        <v>0</v>
      </c>
      <c r="O121" s="1">
        <v>0</v>
      </c>
      <c r="P121" s="1">
        <v>38</v>
      </c>
      <c r="Q121" s="1">
        <v>42</v>
      </c>
      <c r="R121" s="1">
        <v>19</v>
      </c>
      <c r="S121" s="1">
        <v>9</v>
      </c>
      <c r="T121" s="1">
        <v>93</v>
      </c>
      <c r="V121" s="1">
        <v>43</v>
      </c>
      <c r="W121" s="1">
        <v>24298</v>
      </c>
      <c r="X121" s="1">
        <v>0</v>
      </c>
      <c r="Y121" s="1">
        <v>561</v>
      </c>
      <c r="Z121" s="1">
        <v>0</v>
      </c>
      <c r="AA121" s="1">
        <v>0</v>
      </c>
      <c r="AC121" s="1" t="s">
        <v>83</v>
      </c>
      <c r="AD121" s="1" t="s">
        <v>128</v>
      </c>
      <c r="AF121" s="167"/>
      <c r="AH121" s="1" t="s">
        <v>106</v>
      </c>
      <c r="AK121" s="167"/>
      <c r="AL121" s="1" t="s">
        <v>437</v>
      </c>
      <c r="AV121" s="168">
        <v>41668</v>
      </c>
      <c r="AW121" s="1">
        <f t="shared" ca="1" si="6"/>
        <v>11</v>
      </c>
      <c r="AX121" s="1" t="s">
        <v>445</v>
      </c>
      <c r="AY121" s="1">
        <v>8.08</v>
      </c>
      <c r="BA121" s="184" t="s">
        <v>356</v>
      </c>
      <c r="BB121" s="1" t="s">
        <v>448</v>
      </c>
      <c r="BD121" s="1">
        <v>1</v>
      </c>
      <c r="BE121" s="1">
        <v>1</v>
      </c>
      <c r="BK121" s="167"/>
      <c r="BN121" s="1" t="s">
        <v>483</v>
      </c>
      <c r="BU121" s="167"/>
      <c r="CE121" s="167"/>
    </row>
    <row r="122" spans="1:87">
      <c r="A122" s="4">
        <v>121</v>
      </c>
      <c r="B122" s="172">
        <v>37165</v>
      </c>
      <c r="C122" s="173" t="s">
        <v>138</v>
      </c>
      <c r="D122" s="1" t="s">
        <v>418</v>
      </c>
      <c r="E122" s="1">
        <f t="shared" ca="1" si="4"/>
        <v>23</v>
      </c>
      <c r="F122" s="1">
        <f t="shared" si="7"/>
        <v>0</v>
      </c>
      <c r="G122" s="1" t="s">
        <v>8</v>
      </c>
      <c r="H122" s="1" t="s">
        <v>12</v>
      </c>
      <c r="I122" s="1" t="s">
        <v>12</v>
      </c>
      <c r="J122" s="1">
        <v>180</v>
      </c>
      <c r="K122" s="1">
        <v>79</v>
      </c>
      <c r="M122" s="1">
        <v>0</v>
      </c>
      <c r="N122" s="1">
        <v>0</v>
      </c>
      <c r="O122" s="1">
        <v>0</v>
      </c>
      <c r="P122" s="1">
        <v>41</v>
      </c>
      <c r="Q122" s="1">
        <v>24</v>
      </c>
      <c r="R122" s="1">
        <v>81</v>
      </c>
      <c r="S122" s="1">
        <v>14</v>
      </c>
      <c r="U122" s="1">
        <v>80</v>
      </c>
      <c r="V122" s="1">
        <v>45</v>
      </c>
      <c r="X122" s="1">
        <v>0</v>
      </c>
      <c r="Y122" s="1">
        <v>26803</v>
      </c>
      <c r="Z122" s="1">
        <v>0</v>
      </c>
      <c r="AA122" s="1">
        <v>0</v>
      </c>
      <c r="AC122" s="1" t="s">
        <v>83</v>
      </c>
      <c r="AD122" s="1" t="s">
        <v>83</v>
      </c>
      <c r="AF122" s="167"/>
      <c r="AK122" s="167"/>
      <c r="AL122" s="1" t="s">
        <v>438</v>
      </c>
      <c r="AM122" s="1" t="s">
        <v>84</v>
      </c>
      <c r="AV122" s="168">
        <v>37165</v>
      </c>
      <c r="AW122" s="1">
        <f t="shared" ca="1" si="6"/>
        <v>23</v>
      </c>
      <c r="AX122" s="1" t="s">
        <v>445</v>
      </c>
      <c r="AY122" s="1">
        <v>0</v>
      </c>
      <c r="BA122" s="184" t="s">
        <v>356</v>
      </c>
      <c r="BB122" s="1" t="s">
        <v>34</v>
      </c>
      <c r="BK122" s="167"/>
      <c r="BU122" s="167"/>
      <c r="CE122" s="167"/>
      <c r="CF122" s="1" t="s">
        <v>313</v>
      </c>
      <c r="CI122" s="15" t="s">
        <v>216</v>
      </c>
    </row>
    <row r="123" spans="1:87">
      <c r="A123" s="4">
        <v>122</v>
      </c>
      <c r="B123" s="172">
        <v>34962</v>
      </c>
      <c r="C123" s="173" t="s">
        <v>138</v>
      </c>
      <c r="D123" s="1" t="s">
        <v>418</v>
      </c>
      <c r="E123" s="1">
        <f t="shared" ca="1" si="4"/>
        <v>29</v>
      </c>
      <c r="F123" s="1">
        <f t="shared" si="7"/>
        <v>24</v>
      </c>
      <c r="G123" s="1" t="s">
        <v>8</v>
      </c>
      <c r="H123" s="1" t="s">
        <v>14</v>
      </c>
      <c r="I123" s="1" t="s">
        <v>12</v>
      </c>
      <c r="J123" s="1">
        <v>185</v>
      </c>
      <c r="K123" s="1">
        <v>92</v>
      </c>
      <c r="M123" s="1">
        <v>0</v>
      </c>
      <c r="N123" s="1">
        <v>0</v>
      </c>
      <c r="O123" s="1">
        <v>0</v>
      </c>
      <c r="P123" s="1">
        <v>46</v>
      </c>
      <c r="Q123" s="1">
        <v>52</v>
      </c>
      <c r="R123" s="1">
        <v>51</v>
      </c>
      <c r="S123" s="1">
        <v>9</v>
      </c>
      <c r="U123" s="1">
        <v>258</v>
      </c>
      <c r="V123" s="1">
        <v>49</v>
      </c>
      <c r="W123" s="1">
        <v>3792</v>
      </c>
      <c r="X123" s="1">
        <v>0</v>
      </c>
      <c r="Y123" s="1">
        <v>0</v>
      </c>
      <c r="Z123" s="1">
        <v>0</v>
      </c>
      <c r="AA123" s="1">
        <v>0</v>
      </c>
      <c r="AD123" s="1" t="s">
        <v>128</v>
      </c>
      <c r="AF123" s="167">
        <v>0.6</v>
      </c>
      <c r="AK123" s="167"/>
      <c r="AL123" s="1" t="s">
        <v>437</v>
      </c>
      <c r="AV123" s="168">
        <v>43892</v>
      </c>
      <c r="AW123" s="1">
        <f t="shared" ca="1" si="6"/>
        <v>5</v>
      </c>
      <c r="AX123" s="1" t="s">
        <v>445</v>
      </c>
      <c r="AY123" s="1">
        <v>0</v>
      </c>
      <c r="BA123" s="184" t="s">
        <v>356</v>
      </c>
      <c r="BB123" s="1" t="s">
        <v>34</v>
      </c>
      <c r="BK123" s="167"/>
      <c r="BU123" s="167"/>
      <c r="CE123" s="167"/>
    </row>
    <row r="124" spans="1:87">
      <c r="A124" s="4">
        <v>123</v>
      </c>
      <c r="B124" s="171">
        <v>23256</v>
      </c>
      <c r="C124" s="173" t="s">
        <v>138</v>
      </c>
      <c r="D124" s="1" t="s">
        <v>170</v>
      </c>
      <c r="E124" s="1">
        <f t="shared" ca="1" si="4"/>
        <v>61</v>
      </c>
      <c r="F124" s="1">
        <f t="shared" si="7"/>
        <v>56</v>
      </c>
      <c r="G124" s="1" t="s">
        <v>419</v>
      </c>
      <c r="H124" s="1" t="s">
        <v>12</v>
      </c>
      <c r="I124" s="1" t="s">
        <v>12</v>
      </c>
      <c r="J124" s="1">
        <v>159</v>
      </c>
      <c r="K124" s="1">
        <v>52</v>
      </c>
      <c r="M124" s="1">
        <v>0</v>
      </c>
      <c r="N124" s="1">
        <v>0</v>
      </c>
      <c r="O124" s="1">
        <v>0</v>
      </c>
      <c r="P124" s="1">
        <v>256</v>
      </c>
      <c r="Q124" s="1">
        <v>317</v>
      </c>
      <c r="R124" s="1">
        <v>164</v>
      </c>
      <c r="S124" s="1">
        <v>9</v>
      </c>
      <c r="T124" s="1">
        <v>100</v>
      </c>
      <c r="U124" s="1">
        <v>53</v>
      </c>
      <c r="V124" s="1">
        <v>40</v>
      </c>
      <c r="W124" s="1">
        <v>10558</v>
      </c>
      <c r="X124" s="1">
        <v>1</v>
      </c>
      <c r="Y124" s="1">
        <v>0</v>
      </c>
      <c r="Z124" s="1">
        <v>0</v>
      </c>
      <c r="AA124" s="1">
        <v>0</v>
      </c>
      <c r="AB124" s="166"/>
      <c r="AC124" s="1" t="s">
        <v>83</v>
      </c>
      <c r="AF124" s="167"/>
      <c r="AG124" s="166"/>
      <c r="AK124" s="167"/>
      <c r="AL124" s="1" t="s">
        <v>438</v>
      </c>
      <c r="AM124" s="1" t="s">
        <v>84</v>
      </c>
      <c r="AN124" s="1" t="s">
        <v>437</v>
      </c>
      <c r="AO124" s="1" t="s">
        <v>437</v>
      </c>
      <c r="AP124" s="1" t="s">
        <v>437</v>
      </c>
      <c r="AQ124" s="1" t="s">
        <v>437</v>
      </c>
      <c r="AR124" s="1" t="s">
        <v>440</v>
      </c>
      <c r="AS124" s="1" t="s">
        <v>437</v>
      </c>
      <c r="AV124" s="168">
        <v>43831</v>
      </c>
      <c r="AW124" s="1">
        <f t="shared" ca="1" si="6"/>
        <v>5</v>
      </c>
      <c r="AX124" s="1" t="s">
        <v>445</v>
      </c>
      <c r="AY124" s="1">
        <v>5</v>
      </c>
      <c r="BA124" s="184" t="s">
        <v>356</v>
      </c>
      <c r="BB124" s="1" t="s">
        <v>447</v>
      </c>
      <c r="BC124" s="1" t="s">
        <v>480</v>
      </c>
      <c r="BE124" s="1">
        <v>1</v>
      </c>
      <c r="BH124" s="1">
        <v>1</v>
      </c>
      <c r="BK124" s="167"/>
      <c r="BL124" s="1" t="s">
        <v>446</v>
      </c>
      <c r="BM124" s="1" t="s">
        <v>480</v>
      </c>
      <c r="BN124" s="1" t="s">
        <v>482</v>
      </c>
      <c r="BO124" s="1">
        <v>1</v>
      </c>
      <c r="BR124" s="1">
        <v>1</v>
      </c>
      <c r="BU124" s="167"/>
      <c r="BV124" s="1" t="s">
        <v>447</v>
      </c>
      <c r="BW124" s="1" t="s">
        <v>480</v>
      </c>
      <c r="BX124" s="1" t="s">
        <v>482</v>
      </c>
      <c r="BY124" s="1">
        <v>1</v>
      </c>
      <c r="CB124" s="1">
        <v>1</v>
      </c>
      <c r="CE124" s="167"/>
    </row>
    <row r="125" spans="1:87">
      <c r="A125" s="4">
        <v>124</v>
      </c>
      <c r="B125" s="195">
        <v>35065</v>
      </c>
      <c r="C125" s="173" t="s">
        <v>138</v>
      </c>
      <c r="D125" s="170" t="s">
        <v>418</v>
      </c>
      <c r="E125" s="1">
        <f t="shared" ca="1" si="4"/>
        <v>29</v>
      </c>
      <c r="F125" s="1">
        <f t="shared" si="7"/>
        <v>23</v>
      </c>
      <c r="G125" s="1" t="s">
        <v>6</v>
      </c>
      <c r="H125" s="1" t="s">
        <v>12</v>
      </c>
      <c r="I125" s="1" t="s">
        <v>12</v>
      </c>
      <c r="J125" s="1">
        <v>178</v>
      </c>
      <c r="K125" s="1">
        <v>70</v>
      </c>
      <c r="M125" s="1">
        <v>0</v>
      </c>
      <c r="N125" s="1">
        <v>0</v>
      </c>
      <c r="O125" s="1">
        <v>0</v>
      </c>
      <c r="P125" s="1">
        <v>87</v>
      </c>
      <c r="Q125" s="1">
        <v>78</v>
      </c>
      <c r="R125" s="1">
        <v>90</v>
      </c>
      <c r="S125" s="1">
        <v>29</v>
      </c>
      <c r="T125" s="1">
        <v>53</v>
      </c>
      <c r="U125" s="1">
        <v>35</v>
      </c>
      <c r="V125" s="1">
        <v>33</v>
      </c>
      <c r="W125" s="1">
        <v>152</v>
      </c>
      <c r="X125" s="1">
        <v>0</v>
      </c>
      <c r="Y125" s="1">
        <v>0</v>
      </c>
      <c r="Z125" s="1">
        <v>0</v>
      </c>
      <c r="AA125" s="1">
        <v>0</v>
      </c>
      <c r="AB125" s="166" t="s">
        <v>83</v>
      </c>
      <c r="AF125" s="167"/>
      <c r="AG125" s="166"/>
      <c r="AK125" s="167"/>
      <c r="AL125" s="1" t="s">
        <v>438</v>
      </c>
      <c r="AM125" s="1" t="s">
        <v>186</v>
      </c>
      <c r="AN125" s="1" t="s">
        <v>439</v>
      </c>
      <c r="AP125" s="1" t="s">
        <v>439</v>
      </c>
      <c r="AQ125" s="1" t="s">
        <v>439</v>
      </c>
      <c r="AT125" s="1" t="s">
        <v>440</v>
      </c>
      <c r="AV125" s="168">
        <v>43466</v>
      </c>
      <c r="AW125" s="1">
        <f t="shared" ca="1" si="6"/>
        <v>6</v>
      </c>
      <c r="AX125" s="1" t="s">
        <v>445</v>
      </c>
      <c r="AY125" s="1" t="s">
        <v>450</v>
      </c>
      <c r="BA125" s="184" t="s">
        <v>356</v>
      </c>
      <c r="BB125" s="1" t="s">
        <v>34</v>
      </c>
      <c r="BK125" s="167"/>
      <c r="BU125" s="167"/>
      <c r="CE125" s="167"/>
      <c r="CF125" s="1" t="s">
        <v>313</v>
      </c>
      <c r="CI125" s="15" t="s">
        <v>217</v>
      </c>
    </row>
    <row r="126" spans="1:87">
      <c r="A126" s="4">
        <v>125</v>
      </c>
      <c r="B126" s="195">
        <v>23540</v>
      </c>
      <c r="C126" s="173" t="s">
        <v>138</v>
      </c>
      <c r="D126" s="170" t="s">
        <v>418</v>
      </c>
      <c r="E126" s="1">
        <f t="shared" ca="1" si="4"/>
        <v>61</v>
      </c>
      <c r="F126" s="1">
        <f t="shared" si="7"/>
        <v>54</v>
      </c>
      <c r="G126" s="1" t="s">
        <v>8</v>
      </c>
      <c r="H126" s="1" t="s">
        <v>12</v>
      </c>
      <c r="I126" s="1" t="s">
        <v>12</v>
      </c>
      <c r="J126" s="1">
        <v>180</v>
      </c>
      <c r="K126" s="1">
        <v>75</v>
      </c>
      <c r="M126" s="1">
        <v>0</v>
      </c>
      <c r="N126" s="1">
        <v>0</v>
      </c>
      <c r="O126" s="1">
        <v>0</v>
      </c>
      <c r="P126" s="1">
        <v>36</v>
      </c>
      <c r="Q126" s="1">
        <v>33</v>
      </c>
      <c r="R126" s="1">
        <v>63</v>
      </c>
      <c r="S126" s="1">
        <v>5.5</v>
      </c>
      <c r="U126" s="1">
        <v>74</v>
      </c>
      <c r="Y126" s="1">
        <v>45</v>
      </c>
      <c r="Z126" s="1">
        <v>0</v>
      </c>
      <c r="AA126" s="1">
        <v>0</v>
      </c>
      <c r="AB126" s="166"/>
      <c r="AF126" s="167"/>
      <c r="AG126" s="166"/>
      <c r="AK126" s="167"/>
      <c r="AL126" s="1" t="s">
        <v>437</v>
      </c>
      <c r="AV126" s="168">
        <v>43556</v>
      </c>
      <c r="AW126" s="1">
        <f t="shared" ca="1" si="6"/>
        <v>6</v>
      </c>
      <c r="AX126" s="1" t="s">
        <v>445</v>
      </c>
      <c r="AY126" s="1">
        <v>0</v>
      </c>
      <c r="AZ126" s="1">
        <v>1</v>
      </c>
      <c r="BA126" s="184" t="s">
        <v>356</v>
      </c>
      <c r="BB126" s="1" t="s">
        <v>448</v>
      </c>
      <c r="BC126" s="1" t="s">
        <v>480</v>
      </c>
      <c r="BE126" s="1">
        <v>1</v>
      </c>
      <c r="BH126" s="1">
        <v>1</v>
      </c>
      <c r="BJ126" s="1">
        <v>1</v>
      </c>
      <c r="BK126" s="167"/>
      <c r="BU126" s="167"/>
      <c r="CE126" s="167"/>
      <c r="CI126" s="15" t="s">
        <v>218</v>
      </c>
    </row>
    <row r="127" spans="1:87">
      <c r="A127" s="4">
        <v>126</v>
      </c>
      <c r="B127" s="195">
        <v>26732</v>
      </c>
      <c r="C127" s="173" t="s">
        <v>138</v>
      </c>
      <c r="D127" s="170" t="s">
        <v>170</v>
      </c>
      <c r="E127" s="1">
        <f t="shared" ca="1" si="4"/>
        <v>52</v>
      </c>
      <c r="F127" s="1">
        <f t="shared" si="7"/>
        <v>22</v>
      </c>
      <c r="G127" s="1" t="s">
        <v>8</v>
      </c>
      <c r="H127" s="1" t="s">
        <v>14</v>
      </c>
      <c r="I127" s="1" t="s">
        <v>12</v>
      </c>
      <c r="J127" s="1">
        <v>163</v>
      </c>
      <c r="K127" s="1">
        <v>90</v>
      </c>
      <c r="M127" s="1">
        <v>0</v>
      </c>
      <c r="N127" s="1">
        <v>0</v>
      </c>
      <c r="O127" s="1">
        <v>0</v>
      </c>
      <c r="P127" s="1">
        <v>19</v>
      </c>
      <c r="Q127" s="1">
        <v>12</v>
      </c>
      <c r="R127" s="1">
        <v>10</v>
      </c>
      <c r="S127" s="1">
        <v>8</v>
      </c>
      <c r="U127" s="1">
        <v>176</v>
      </c>
      <c r="X127" s="1">
        <v>0</v>
      </c>
      <c r="Z127" s="1">
        <v>0</v>
      </c>
      <c r="AA127" s="1">
        <v>0</v>
      </c>
      <c r="AB127" s="166" t="s">
        <v>83</v>
      </c>
      <c r="AC127" s="1" t="s">
        <v>110</v>
      </c>
      <c r="AF127" s="167"/>
      <c r="AG127" s="166"/>
      <c r="AH127" s="1" t="s">
        <v>110</v>
      </c>
      <c r="AK127" s="167"/>
      <c r="AL127" s="1" t="s">
        <v>438</v>
      </c>
      <c r="AM127" s="1" t="s">
        <v>84</v>
      </c>
      <c r="AV127" s="168">
        <v>35065</v>
      </c>
      <c r="AW127" s="1">
        <f t="shared" ca="1" si="6"/>
        <v>29</v>
      </c>
      <c r="AX127" s="1" t="s">
        <v>445</v>
      </c>
      <c r="AY127" s="1" t="s">
        <v>358</v>
      </c>
      <c r="BA127" s="184" t="s">
        <v>356</v>
      </c>
      <c r="BB127" s="1" t="s">
        <v>448</v>
      </c>
      <c r="BK127" s="167"/>
      <c r="BU127" s="167"/>
      <c r="CE127" s="167"/>
      <c r="CI127" s="15" t="s">
        <v>389</v>
      </c>
    </row>
    <row r="128" spans="1:87" hidden="1">
      <c r="A128" s="4">
        <v>127</v>
      </c>
      <c r="B128" s="171">
        <v>32071</v>
      </c>
      <c r="C128" s="182" t="s">
        <v>219</v>
      </c>
      <c r="D128" s="1" t="s">
        <v>170</v>
      </c>
      <c r="E128" s="1">
        <f t="shared" ca="1" si="4"/>
        <v>37</v>
      </c>
      <c r="F128" s="1">
        <f t="shared" si="7"/>
        <v>24</v>
      </c>
      <c r="G128" s="1" t="s">
        <v>8</v>
      </c>
      <c r="H128" s="1" t="s">
        <v>14</v>
      </c>
      <c r="I128" s="1" t="s">
        <v>14</v>
      </c>
      <c r="J128" s="1">
        <v>165</v>
      </c>
      <c r="K128" s="1">
        <v>65</v>
      </c>
      <c r="M128" s="1">
        <v>0</v>
      </c>
      <c r="N128" s="1">
        <v>0</v>
      </c>
      <c r="P128" s="1">
        <v>50</v>
      </c>
      <c r="Q128" s="1">
        <v>61</v>
      </c>
      <c r="R128" s="1">
        <v>42</v>
      </c>
      <c r="S128" s="1">
        <v>8</v>
      </c>
      <c r="T128" s="1">
        <v>86</v>
      </c>
      <c r="U128" s="1">
        <v>220</v>
      </c>
      <c r="Z128" s="1">
        <v>0</v>
      </c>
      <c r="AA128" s="1">
        <v>1</v>
      </c>
      <c r="AD128" s="1" t="s">
        <v>128</v>
      </c>
      <c r="AL128" s="1" t="s">
        <v>437</v>
      </c>
      <c r="AV128" s="168">
        <v>40909</v>
      </c>
      <c r="AW128" s="1">
        <f t="shared" ca="1" si="6"/>
        <v>13</v>
      </c>
      <c r="AX128" s="1" t="s">
        <v>445</v>
      </c>
      <c r="AY128" s="1">
        <v>7.1</v>
      </c>
      <c r="BA128" s="184" t="s">
        <v>356</v>
      </c>
      <c r="BB128" s="1" t="s">
        <v>446</v>
      </c>
      <c r="CE128" s="167"/>
    </row>
    <row r="129" spans="1:87" hidden="1">
      <c r="A129" s="4">
        <v>128</v>
      </c>
      <c r="B129" s="171">
        <v>32680</v>
      </c>
      <c r="C129" s="183" t="s">
        <v>220</v>
      </c>
      <c r="D129" s="1" t="s">
        <v>170</v>
      </c>
      <c r="E129" s="1">
        <f t="shared" ca="1" si="4"/>
        <v>36</v>
      </c>
      <c r="F129" s="1">
        <f t="shared" si="7"/>
        <v>23</v>
      </c>
      <c r="G129" s="1" t="s">
        <v>8</v>
      </c>
      <c r="H129" s="1" t="s">
        <v>12</v>
      </c>
      <c r="I129" s="1" t="s">
        <v>12</v>
      </c>
      <c r="J129" s="1">
        <v>164</v>
      </c>
      <c r="K129" s="1">
        <v>90</v>
      </c>
      <c r="M129" s="1">
        <v>0</v>
      </c>
      <c r="N129" s="1">
        <v>0</v>
      </c>
      <c r="O129" s="1">
        <v>0</v>
      </c>
      <c r="P129" s="1">
        <v>75</v>
      </c>
      <c r="Q129" s="1">
        <v>106</v>
      </c>
      <c r="R129" s="1">
        <v>38</v>
      </c>
      <c r="S129" s="1">
        <v>10</v>
      </c>
      <c r="T129" s="1">
        <v>61</v>
      </c>
      <c r="U129" s="1">
        <v>62</v>
      </c>
      <c r="V129" s="1">
        <v>30</v>
      </c>
      <c r="W129" s="1">
        <v>17698</v>
      </c>
      <c r="X129" s="1">
        <v>0</v>
      </c>
      <c r="Y129" s="1">
        <v>33</v>
      </c>
      <c r="Z129" s="1">
        <v>1</v>
      </c>
      <c r="AA129" s="1">
        <v>0</v>
      </c>
      <c r="AB129" s="184"/>
      <c r="AC129" s="184" t="s">
        <v>83</v>
      </c>
      <c r="AD129" s="184"/>
      <c r="AE129" s="184"/>
      <c r="AF129" s="184"/>
      <c r="AG129" s="166"/>
      <c r="AH129" s="1" t="s">
        <v>110</v>
      </c>
      <c r="AK129" s="167"/>
      <c r="AL129" s="1" t="s">
        <v>438</v>
      </c>
      <c r="AM129" s="1" t="s">
        <v>84</v>
      </c>
      <c r="AN129" s="1" t="s">
        <v>437</v>
      </c>
      <c r="AO129" s="1" t="s">
        <v>437</v>
      </c>
      <c r="AP129" s="1" t="s">
        <v>437</v>
      </c>
      <c r="AQ129" s="1" t="s">
        <v>437</v>
      </c>
      <c r="AR129" s="1" t="s">
        <v>437</v>
      </c>
      <c r="AS129" s="1" t="s">
        <v>437</v>
      </c>
      <c r="AT129" s="1" t="s">
        <v>437</v>
      </c>
      <c r="AU129" s="1" t="s">
        <v>437</v>
      </c>
      <c r="AV129" s="168">
        <v>41365</v>
      </c>
      <c r="AW129" s="1">
        <f t="shared" ca="1" si="6"/>
        <v>12</v>
      </c>
      <c r="AX129" s="1" t="s">
        <v>445</v>
      </c>
      <c r="AY129" s="1">
        <v>6.6</v>
      </c>
      <c r="BA129" s="184" t="s">
        <v>356</v>
      </c>
      <c r="BB129" s="1" t="s">
        <v>448</v>
      </c>
      <c r="BC129" s="1">
        <v>0</v>
      </c>
      <c r="BD129" s="1">
        <v>0</v>
      </c>
      <c r="BE129" s="1">
        <v>1</v>
      </c>
      <c r="BJ129" s="1">
        <v>1</v>
      </c>
      <c r="BK129" s="167"/>
      <c r="BU129" s="167"/>
      <c r="CE129" s="167"/>
      <c r="CI129" s="15" t="s">
        <v>221</v>
      </c>
    </row>
    <row r="130" spans="1:87" hidden="1">
      <c r="A130" s="4">
        <v>129</v>
      </c>
      <c r="B130" s="171">
        <v>23624</v>
      </c>
      <c r="C130" s="183" t="s">
        <v>220</v>
      </c>
      <c r="D130" s="1" t="s">
        <v>418</v>
      </c>
      <c r="E130" s="1">
        <f t="shared" ref="E130:E193" ca="1" si="8">DATEDIF(B130,TODAY(),"Y")</f>
        <v>60</v>
      </c>
      <c r="F130" s="1">
        <f t="shared" ref="F130:F161" si="9">DATEDIF(B130,AV130,"Y")</f>
        <v>47</v>
      </c>
      <c r="G130" s="1" t="s">
        <v>8</v>
      </c>
      <c r="H130" s="1" t="s">
        <v>12</v>
      </c>
      <c r="I130" s="1" t="s">
        <v>12</v>
      </c>
      <c r="J130" s="1">
        <v>1.75</v>
      </c>
      <c r="K130" s="1">
        <v>75</v>
      </c>
      <c r="M130" s="1">
        <v>0</v>
      </c>
      <c r="N130" s="1">
        <v>0</v>
      </c>
      <c r="O130" s="1">
        <v>0</v>
      </c>
      <c r="P130" s="1">
        <v>40</v>
      </c>
      <c r="Q130" s="1">
        <v>42</v>
      </c>
      <c r="R130" s="1">
        <v>26</v>
      </c>
      <c r="S130" s="1">
        <v>23</v>
      </c>
      <c r="T130" s="1">
        <v>88</v>
      </c>
      <c r="U130" s="1">
        <v>83</v>
      </c>
      <c r="V130" s="1">
        <v>38</v>
      </c>
      <c r="X130" s="1">
        <v>0</v>
      </c>
      <c r="Y130" s="1">
        <v>0</v>
      </c>
      <c r="Z130" s="1">
        <v>0</v>
      </c>
      <c r="AA130" s="1">
        <v>0</v>
      </c>
      <c r="AB130" s="184"/>
      <c r="AC130" s="184" t="s">
        <v>83</v>
      </c>
      <c r="AD130" s="184"/>
      <c r="AE130" s="184"/>
      <c r="AF130" s="184"/>
      <c r="AG130" s="166"/>
      <c r="AH130" s="1" t="s">
        <v>106</v>
      </c>
      <c r="AK130" s="167"/>
      <c r="AL130" s="1" t="s">
        <v>438</v>
      </c>
      <c r="AM130" s="1" t="s">
        <v>84</v>
      </c>
      <c r="AN130" s="1" t="s">
        <v>437</v>
      </c>
      <c r="AO130" s="1" t="s">
        <v>437</v>
      </c>
      <c r="AP130" s="1" t="s">
        <v>437</v>
      </c>
      <c r="AQ130" s="1" t="s">
        <v>437</v>
      </c>
      <c r="AR130" s="1" t="s">
        <v>437</v>
      </c>
      <c r="AS130" s="1" t="s">
        <v>437</v>
      </c>
      <c r="AT130" s="1" t="s">
        <v>437</v>
      </c>
      <c r="AU130" s="1" t="s">
        <v>437</v>
      </c>
      <c r="AV130" s="168">
        <v>41030</v>
      </c>
      <c r="AW130" s="1">
        <f t="shared" ca="1" si="6"/>
        <v>13</v>
      </c>
      <c r="AX130" s="1" t="s">
        <v>445</v>
      </c>
      <c r="AY130" s="1">
        <v>7</v>
      </c>
      <c r="BA130" s="184" t="s">
        <v>356</v>
      </c>
      <c r="BB130" s="1" t="s">
        <v>448</v>
      </c>
      <c r="BC130" s="1">
        <v>0</v>
      </c>
      <c r="BD130" s="1">
        <v>0</v>
      </c>
      <c r="BE130" s="1">
        <v>1</v>
      </c>
      <c r="BK130" s="167" t="s">
        <v>469</v>
      </c>
      <c r="BU130" s="167"/>
      <c r="CE130" s="167"/>
      <c r="CI130" s="15" t="s">
        <v>222</v>
      </c>
    </row>
    <row r="131" spans="1:87" hidden="1">
      <c r="A131" s="4">
        <v>130</v>
      </c>
      <c r="B131" s="171">
        <v>23055</v>
      </c>
      <c r="C131" s="183" t="s">
        <v>220</v>
      </c>
      <c r="D131" s="1" t="s">
        <v>418</v>
      </c>
      <c r="E131" s="1">
        <f t="shared" ca="1" si="8"/>
        <v>62</v>
      </c>
      <c r="F131" s="1">
        <f t="shared" si="9"/>
        <v>43</v>
      </c>
      <c r="G131" s="1" t="s">
        <v>8</v>
      </c>
      <c r="H131" s="1" t="s">
        <v>12</v>
      </c>
      <c r="I131" s="1" t="s">
        <v>12</v>
      </c>
      <c r="J131" s="1">
        <v>1.74</v>
      </c>
      <c r="K131" s="1">
        <v>100</v>
      </c>
      <c r="M131" s="1">
        <v>0</v>
      </c>
      <c r="N131" s="1">
        <v>1</v>
      </c>
      <c r="O131" s="1">
        <v>1</v>
      </c>
      <c r="X131" s="1">
        <v>0</v>
      </c>
      <c r="Y131" s="1">
        <v>0</v>
      </c>
      <c r="Z131" s="1">
        <v>0</v>
      </c>
      <c r="AA131" s="1">
        <v>0</v>
      </c>
      <c r="AB131" s="184" t="s">
        <v>106</v>
      </c>
      <c r="AC131" s="184"/>
      <c r="AD131" s="184"/>
      <c r="AE131" s="184"/>
      <c r="AF131" s="184"/>
      <c r="AG131" s="166"/>
      <c r="AK131" s="167"/>
      <c r="AL131" s="1" t="s">
        <v>437</v>
      </c>
      <c r="AN131" s="1" t="s">
        <v>437</v>
      </c>
      <c r="AO131" s="1" t="s">
        <v>437</v>
      </c>
      <c r="AP131" s="1" t="s">
        <v>437</v>
      </c>
      <c r="AQ131" s="1" t="s">
        <v>437</v>
      </c>
      <c r="AR131" s="1" t="s">
        <v>437</v>
      </c>
      <c r="AS131" s="1" t="s">
        <v>437</v>
      </c>
      <c r="AT131" s="1" t="s">
        <v>437</v>
      </c>
      <c r="AU131" s="1" t="s">
        <v>437</v>
      </c>
      <c r="AV131" s="168">
        <v>39052</v>
      </c>
      <c r="AW131" s="1">
        <f t="shared" ref="AW131:AW194" ca="1" si="10">DATEDIF(AV131,TODAY(),"Y")</f>
        <v>18</v>
      </c>
      <c r="AX131" s="1" t="s">
        <v>445</v>
      </c>
      <c r="AY131" s="1">
        <v>7</v>
      </c>
      <c r="BA131" s="184" t="s">
        <v>356</v>
      </c>
      <c r="BB131" s="1" t="s">
        <v>448</v>
      </c>
      <c r="BC131" s="1">
        <v>0</v>
      </c>
      <c r="BD131" s="1">
        <v>1</v>
      </c>
      <c r="BE131" s="1">
        <v>1</v>
      </c>
      <c r="BJ131" s="1">
        <v>1</v>
      </c>
      <c r="BK131" s="167"/>
      <c r="BU131" s="167"/>
      <c r="CE131" s="167"/>
      <c r="CI131" s="15" t="s">
        <v>223</v>
      </c>
    </row>
    <row r="132" spans="1:87" hidden="1">
      <c r="A132" s="4">
        <v>131</v>
      </c>
      <c r="B132" s="171">
        <v>30621</v>
      </c>
      <c r="C132" s="183" t="s">
        <v>220</v>
      </c>
      <c r="D132" s="1" t="s">
        <v>170</v>
      </c>
      <c r="E132" s="1">
        <f t="shared" ca="1" si="8"/>
        <v>41</v>
      </c>
      <c r="F132" s="1">
        <f t="shared" si="9"/>
        <v>31</v>
      </c>
      <c r="G132" s="1" t="s">
        <v>8</v>
      </c>
      <c r="H132" s="1" t="s">
        <v>12</v>
      </c>
      <c r="I132" s="1" t="s">
        <v>12</v>
      </c>
      <c r="M132" s="1">
        <v>0</v>
      </c>
      <c r="N132" s="1">
        <v>0</v>
      </c>
      <c r="O132" s="1">
        <v>0</v>
      </c>
      <c r="P132" s="1">
        <v>17</v>
      </c>
      <c r="Q132" s="1">
        <v>15</v>
      </c>
      <c r="R132" s="1">
        <v>11</v>
      </c>
      <c r="S132" s="1">
        <v>5</v>
      </c>
      <c r="T132" s="1">
        <v>94</v>
      </c>
      <c r="U132" s="1">
        <v>250</v>
      </c>
      <c r="X132" s="1">
        <v>0</v>
      </c>
      <c r="Y132" s="1">
        <v>0</v>
      </c>
      <c r="Z132" s="1">
        <v>0</v>
      </c>
      <c r="AA132" s="1">
        <v>0</v>
      </c>
      <c r="AB132" s="184"/>
      <c r="AC132" s="184" t="s">
        <v>91</v>
      </c>
      <c r="AD132" s="184"/>
      <c r="AE132" s="184"/>
      <c r="AF132" s="184"/>
      <c r="AG132" s="166"/>
      <c r="AK132" s="167"/>
      <c r="AL132" s="1" t="s">
        <v>437</v>
      </c>
      <c r="AN132" s="1" t="s">
        <v>437</v>
      </c>
      <c r="AO132" s="1" t="s">
        <v>437</v>
      </c>
      <c r="AP132" s="1" t="s">
        <v>437</v>
      </c>
      <c r="AQ132" s="1" t="s">
        <v>437</v>
      </c>
      <c r="AR132" s="1" t="s">
        <v>437</v>
      </c>
      <c r="AS132" s="1" t="s">
        <v>437</v>
      </c>
      <c r="AT132" s="1" t="s">
        <v>437</v>
      </c>
      <c r="AU132" s="1" t="s">
        <v>437</v>
      </c>
      <c r="AV132" s="168">
        <v>42064</v>
      </c>
      <c r="AW132" s="1">
        <f t="shared" ca="1" si="10"/>
        <v>10</v>
      </c>
      <c r="AX132" s="1" t="s">
        <v>445</v>
      </c>
      <c r="AY132" s="1">
        <v>5</v>
      </c>
      <c r="BA132" s="184" t="s">
        <v>34</v>
      </c>
      <c r="BB132" s="1" t="s">
        <v>34</v>
      </c>
      <c r="BK132" s="167"/>
      <c r="BU132" s="167"/>
      <c r="CE132" s="167"/>
      <c r="CG132" s="1">
        <v>1</v>
      </c>
      <c r="CI132" s="15" t="s">
        <v>224</v>
      </c>
    </row>
    <row r="133" spans="1:87" hidden="1">
      <c r="A133" s="4">
        <v>132</v>
      </c>
      <c r="B133" s="171">
        <v>27510</v>
      </c>
      <c r="C133" s="183" t="s">
        <v>220</v>
      </c>
      <c r="D133" s="1" t="s">
        <v>170</v>
      </c>
      <c r="E133" s="1">
        <f t="shared" ca="1" si="8"/>
        <v>50</v>
      </c>
      <c r="F133" s="1">
        <f t="shared" si="9"/>
        <v>46</v>
      </c>
      <c r="G133" s="1" t="s">
        <v>8</v>
      </c>
      <c r="H133" s="1" t="s">
        <v>12</v>
      </c>
      <c r="I133" s="1" t="s">
        <v>12</v>
      </c>
      <c r="K133" s="1">
        <v>81</v>
      </c>
      <c r="M133" s="1">
        <v>0</v>
      </c>
      <c r="N133" s="1">
        <v>1</v>
      </c>
      <c r="O133" s="1">
        <v>0</v>
      </c>
      <c r="P133" s="1">
        <v>22</v>
      </c>
      <c r="Q133" s="1">
        <v>7</v>
      </c>
      <c r="R133" s="1">
        <v>31</v>
      </c>
      <c r="S133" s="1">
        <v>5</v>
      </c>
      <c r="T133" s="1">
        <v>79</v>
      </c>
      <c r="U133" s="1">
        <v>421</v>
      </c>
      <c r="V133" s="1">
        <v>40</v>
      </c>
      <c r="W133" s="1">
        <v>3945</v>
      </c>
      <c r="X133" s="1">
        <v>0</v>
      </c>
      <c r="Y133" s="1">
        <v>0</v>
      </c>
      <c r="Z133" s="1">
        <v>0</v>
      </c>
      <c r="AA133" s="1">
        <v>0</v>
      </c>
      <c r="AB133" s="184"/>
      <c r="AC133" s="184" t="s">
        <v>91</v>
      </c>
      <c r="AD133" s="184"/>
      <c r="AE133" s="184"/>
      <c r="AF133" s="184"/>
      <c r="AG133" s="166"/>
      <c r="AH133" s="1" t="s">
        <v>91</v>
      </c>
      <c r="AK133" s="167"/>
      <c r="AL133" s="1" t="s">
        <v>437</v>
      </c>
      <c r="AN133" s="1" t="s">
        <v>437</v>
      </c>
      <c r="AO133" s="1" t="s">
        <v>437</v>
      </c>
      <c r="AP133" s="1" t="s">
        <v>437</v>
      </c>
      <c r="AQ133" s="1" t="s">
        <v>437</v>
      </c>
      <c r="AR133" s="1" t="s">
        <v>437</v>
      </c>
      <c r="AS133" s="1" t="s">
        <v>437</v>
      </c>
      <c r="AT133" s="1" t="s">
        <v>437</v>
      </c>
      <c r="AU133" s="1" t="s">
        <v>437</v>
      </c>
      <c r="AV133" s="168">
        <v>44440</v>
      </c>
      <c r="AW133" s="1">
        <f t="shared" ca="1" si="10"/>
        <v>3</v>
      </c>
      <c r="AX133" s="1" t="s">
        <v>445</v>
      </c>
      <c r="AY133" s="1">
        <v>0</v>
      </c>
      <c r="BA133" s="184" t="s">
        <v>34</v>
      </c>
      <c r="BB133" s="1" t="s">
        <v>34</v>
      </c>
      <c r="BK133" s="167"/>
      <c r="BU133" s="167"/>
      <c r="CE133" s="167"/>
      <c r="CI133" s="15" t="s">
        <v>225</v>
      </c>
    </row>
    <row r="134" spans="1:87" hidden="1">
      <c r="A134" s="4">
        <v>133</v>
      </c>
      <c r="B134" s="171">
        <v>32064</v>
      </c>
      <c r="C134" s="183" t="s">
        <v>220</v>
      </c>
      <c r="D134" s="1" t="s">
        <v>418</v>
      </c>
      <c r="E134" s="1">
        <f t="shared" ca="1" si="8"/>
        <v>37</v>
      </c>
      <c r="F134" s="1">
        <f t="shared" si="9"/>
        <v>31</v>
      </c>
      <c r="G134" s="1" t="s">
        <v>8</v>
      </c>
      <c r="H134" s="1" t="s">
        <v>12</v>
      </c>
      <c r="I134" s="1" t="s">
        <v>12</v>
      </c>
      <c r="M134" s="1">
        <v>0</v>
      </c>
      <c r="N134" s="1">
        <v>0</v>
      </c>
      <c r="O134" s="1">
        <v>0</v>
      </c>
      <c r="P134" s="1">
        <v>61</v>
      </c>
      <c r="Q134" s="1">
        <v>98</v>
      </c>
      <c r="R134" s="1">
        <v>90</v>
      </c>
      <c r="S134" s="1">
        <v>27</v>
      </c>
      <c r="T134" s="1">
        <v>59</v>
      </c>
      <c r="U134" s="1">
        <v>73</v>
      </c>
      <c r="V134" s="1">
        <v>46</v>
      </c>
      <c r="W134" s="1">
        <v>2708</v>
      </c>
      <c r="X134" s="1">
        <v>1</v>
      </c>
      <c r="Y134" s="1">
        <v>500</v>
      </c>
      <c r="Z134" s="1">
        <v>0</v>
      </c>
      <c r="AA134" s="1">
        <v>0</v>
      </c>
      <c r="AB134" s="184"/>
      <c r="AC134" s="184" t="s">
        <v>83</v>
      </c>
      <c r="AD134" s="184"/>
      <c r="AE134" s="184"/>
      <c r="AF134" s="184" t="s">
        <v>106</v>
      </c>
      <c r="AG134" s="166"/>
      <c r="AK134" s="167"/>
      <c r="AL134" s="1" t="s">
        <v>438</v>
      </c>
      <c r="AM134" s="1" t="s">
        <v>84</v>
      </c>
      <c r="AN134" s="1" t="s">
        <v>437</v>
      </c>
      <c r="AO134" s="1" t="s">
        <v>437</v>
      </c>
      <c r="AP134" s="1" t="s">
        <v>437</v>
      </c>
      <c r="AQ134" s="1" t="s">
        <v>437</v>
      </c>
      <c r="AR134" s="1" t="s">
        <v>437</v>
      </c>
      <c r="AS134" s="1" t="s">
        <v>437</v>
      </c>
      <c r="AT134" s="1" t="s">
        <v>437</v>
      </c>
      <c r="AU134" s="1" t="s">
        <v>437</v>
      </c>
      <c r="AV134" s="168">
        <v>43739</v>
      </c>
      <c r="AW134" s="1">
        <f t="shared" ca="1" si="10"/>
        <v>5</v>
      </c>
      <c r="AX134" s="1" t="s">
        <v>445</v>
      </c>
      <c r="AY134" s="1">
        <v>6.1</v>
      </c>
      <c r="BA134" s="184" t="s">
        <v>356</v>
      </c>
      <c r="BB134" s="1" t="s">
        <v>448</v>
      </c>
      <c r="BC134" s="1">
        <v>0</v>
      </c>
      <c r="BD134" s="1">
        <v>1</v>
      </c>
      <c r="BE134" s="1">
        <v>1</v>
      </c>
      <c r="BF134" s="1">
        <v>1</v>
      </c>
      <c r="BK134" s="167"/>
      <c r="BU134" s="167"/>
      <c r="CE134" s="167"/>
      <c r="CG134" s="1">
        <v>1</v>
      </c>
      <c r="CI134" s="15" t="s">
        <v>227</v>
      </c>
    </row>
    <row r="135" spans="1:87" hidden="1">
      <c r="A135" s="4">
        <v>134</v>
      </c>
      <c r="B135" s="171">
        <v>35810</v>
      </c>
      <c r="C135" s="183" t="s">
        <v>220</v>
      </c>
      <c r="D135" s="1" t="s">
        <v>418</v>
      </c>
      <c r="E135" s="1">
        <f t="shared" ca="1" si="8"/>
        <v>27</v>
      </c>
      <c r="F135" s="1">
        <f t="shared" si="9"/>
        <v>21</v>
      </c>
      <c r="G135" s="1" t="s">
        <v>8</v>
      </c>
      <c r="H135" s="1" t="s">
        <v>12</v>
      </c>
      <c r="I135" s="1" t="s">
        <v>12</v>
      </c>
      <c r="J135" s="1">
        <v>1.8</v>
      </c>
      <c r="K135" s="1">
        <v>65</v>
      </c>
      <c r="M135" s="1">
        <v>0</v>
      </c>
      <c r="N135" s="1">
        <v>0</v>
      </c>
      <c r="O135" s="1">
        <v>0</v>
      </c>
      <c r="P135" s="1">
        <v>64</v>
      </c>
      <c r="Q135" s="1">
        <v>105</v>
      </c>
      <c r="R135" s="1">
        <v>49</v>
      </c>
      <c r="S135" s="1">
        <v>22</v>
      </c>
      <c r="T135" s="1">
        <v>100</v>
      </c>
      <c r="U135" s="1">
        <v>170</v>
      </c>
      <c r="W135" s="1">
        <v>12622</v>
      </c>
      <c r="X135" s="1">
        <v>0</v>
      </c>
      <c r="Y135" s="1">
        <v>115</v>
      </c>
      <c r="Z135" s="1">
        <v>0</v>
      </c>
      <c r="AA135" s="1">
        <v>0</v>
      </c>
      <c r="AB135" s="184"/>
      <c r="AC135" s="184" t="s">
        <v>128</v>
      </c>
      <c r="AD135" s="184"/>
      <c r="AE135" s="184"/>
      <c r="AF135" s="184" t="s">
        <v>128</v>
      </c>
      <c r="AG135" s="166"/>
      <c r="AH135" s="1" t="s">
        <v>91</v>
      </c>
      <c r="AK135" s="167"/>
      <c r="AL135" s="1" t="s">
        <v>437</v>
      </c>
      <c r="AN135" s="1" t="s">
        <v>437</v>
      </c>
      <c r="AO135" s="1" t="s">
        <v>437</v>
      </c>
      <c r="AP135" s="1" t="s">
        <v>437</v>
      </c>
      <c r="AQ135" s="1" t="s">
        <v>437</v>
      </c>
      <c r="AR135" s="1" t="s">
        <v>437</v>
      </c>
      <c r="AS135" s="1" t="s">
        <v>437</v>
      </c>
      <c r="AT135" s="1" t="s">
        <v>437</v>
      </c>
      <c r="AU135" s="1" t="s">
        <v>437</v>
      </c>
      <c r="AV135" s="168">
        <v>43617</v>
      </c>
      <c r="AW135" s="1">
        <f t="shared" ca="1" si="10"/>
        <v>6</v>
      </c>
      <c r="AX135" s="1" t="s">
        <v>445</v>
      </c>
      <c r="AY135" s="1">
        <v>5</v>
      </c>
      <c r="BA135" s="184" t="s">
        <v>356</v>
      </c>
      <c r="BB135" s="1" t="s">
        <v>448</v>
      </c>
      <c r="BC135" s="1">
        <v>0</v>
      </c>
      <c r="BD135" s="1">
        <v>0</v>
      </c>
      <c r="BE135" s="1">
        <v>1</v>
      </c>
      <c r="BK135" s="167" t="s">
        <v>466</v>
      </c>
      <c r="BU135" s="167"/>
      <c r="CE135" s="167"/>
      <c r="CI135" s="15" t="s">
        <v>228</v>
      </c>
    </row>
    <row r="136" spans="1:87" hidden="1">
      <c r="A136" s="4">
        <v>135</v>
      </c>
      <c r="B136" s="171">
        <v>27708</v>
      </c>
      <c r="C136" s="183" t="s">
        <v>220</v>
      </c>
      <c r="D136" s="1" t="s">
        <v>170</v>
      </c>
      <c r="E136" s="1">
        <f t="shared" ca="1" si="8"/>
        <v>49</v>
      </c>
      <c r="F136" s="1">
        <f t="shared" si="9"/>
        <v>41</v>
      </c>
      <c r="G136" s="1" t="s">
        <v>8</v>
      </c>
      <c r="H136" s="1" t="s">
        <v>12</v>
      </c>
      <c r="I136" s="1" t="s">
        <v>12</v>
      </c>
      <c r="J136" s="1">
        <v>1.68</v>
      </c>
      <c r="K136" s="1">
        <v>66</v>
      </c>
      <c r="M136" s="1">
        <v>0</v>
      </c>
      <c r="N136" s="1">
        <v>0</v>
      </c>
      <c r="O136" s="1">
        <v>0</v>
      </c>
      <c r="P136" s="1">
        <v>91</v>
      </c>
      <c r="Q136" s="1">
        <v>77</v>
      </c>
      <c r="R136" s="1">
        <v>207</v>
      </c>
      <c r="S136" s="1">
        <v>14</v>
      </c>
      <c r="T136" s="1">
        <v>89</v>
      </c>
      <c r="U136" s="1">
        <v>84</v>
      </c>
      <c r="V136" s="1">
        <v>43</v>
      </c>
      <c r="X136" s="1">
        <v>0</v>
      </c>
      <c r="Y136" s="1">
        <v>250</v>
      </c>
      <c r="Z136" s="1">
        <v>0</v>
      </c>
      <c r="AA136" s="1">
        <v>0</v>
      </c>
      <c r="AB136" s="184"/>
      <c r="AC136" s="184" t="s">
        <v>83</v>
      </c>
      <c r="AD136" s="184"/>
      <c r="AE136" s="184"/>
      <c r="AF136" s="184"/>
      <c r="AG136" s="166"/>
      <c r="AH136" s="1" t="s">
        <v>83</v>
      </c>
      <c r="AK136" s="167"/>
      <c r="AL136" s="1" t="s">
        <v>438</v>
      </c>
      <c r="AM136" s="1" t="s">
        <v>84</v>
      </c>
      <c r="AN136" s="1" t="s">
        <v>437</v>
      </c>
      <c r="AO136" s="1" t="s">
        <v>437</v>
      </c>
      <c r="AP136" s="1" t="s">
        <v>437</v>
      </c>
      <c r="AQ136" s="1" t="s">
        <v>437</v>
      </c>
      <c r="AR136" s="1" t="s">
        <v>437</v>
      </c>
      <c r="AS136" s="1" t="s">
        <v>437</v>
      </c>
      <c r="AT136" s="1" t="s">
        <v>437</v>
      </c>
      <c r="AU136" s="1" t="s">
        <v>437</v>
      </c>
      <c r="AV136" s="168">
        <v>42917</v>
      </c>
      <c r="AW136" s="1">
        <f t="shared" ca="1" si="10"/>
        <v>8</v>
      </c>
      <c r="AX136" s="1" t="s">
        <v>445</v>
      </c>
      <c r="AY136" s="1">
        <v>5.3</v>
      </c>
      <c r="BA136" s="184" t="s">
        <v>356</v>
      </c>
      <c r="BB136" s="1" t="s">
        <v>448</v>
      </c>
      <c r="BC136" s="1">
        <v>0</v>
      </c>
      <c r="BD136" s="1">
        <v>0</v>
      </c>
      <c r="BE136" s="1">
        <v>1</v>
      </c>
      <c r="BJ136" s="1">
        <v>1</v>
      </c>
      <c r="BK136" s="167"/>
      <c r="BU136" s="167"/>
      <c r="CE136" s="167"/>
      <c r="CI136" s="15" t="s">
        <v>229</v>
      </c>
    </row>
    <row r="137" spans="1:87" ht="28.8" hidden="1">
      <c r="A137" s="4">
        <v>136</v>
      </c>
      <c r="B137" s="171">
        <v>31797</v>
      </c>
      <c r="C137" s="183" t="s">
        <v>220</v>
      </c>
      <c r="D137" s="1" t="s">
        <v>170</v>
      </c>
      <c r="E137" s="1">
        <f t="shared" ca="1" si="8"/>
        <v>38</v>
      </c>
      <c r="F137" s="1">
        <f t="shared" si="9"/>
        <v>28</v>
      </c>
      <c r="G137" s="1" t="s">
        <v>8</v>
      </c>
      <c r="H137" s="1" t="s">
        <v>12</v>
      </c>
      <c r="I137" s="1" t="s">
        <v>12</v>
      </c>
      <c r="J137" s="1">
        <v>1.67</v>
      </c>
      <c r="K137" s="1">
        <v>78</v>
      </c>
      <c r="M137" s="1">
        <v>0</v>
      </c>
      <c r="N137" s="1">
        <v>0</v>
      </c>
      <c r="O137" s="1">
        <v>0</v>
      </c>
      <c r="P137" s="1">
        <v>46</v>
      </c>
      <c r="Q137" s="1">
        <v>49</v>
      </c>
      <c r="R137" s="1">
        <v>44</v>
      </c>
      <c r="S137" s="1">
        <v>5</v>
      </c>
      <c r="T137" s="1">
        <v>78</v>
      </c>
      <c r="U137" s="1">
        <v>200</v>
      </c>
      <c r="W137" s="1">
        <v>9763</v>
      </c>
      <c r="X137" s="1">
        <v>0</v>
      </c>
      <c r="Y137" s="1">
        <v>28</v>
      </c>
      <c r="Z137" s="1">
        <v>0</v>
      </c>
      <c r="AA137" s="1">
        <v>0</v>
      </c>
      <c r="AB137" s="184"/>
      <c r="AC137" s="184" t="s">
        <v>91</v>
      </c>
      <c r="AD137" s="184"/>
      <c r="AE137" s="184"/>
      <c r="AF137" s="184" t="s">
        <v>110</v>
      </c>
      <c r="AG137" s="166"/>
      <c r="AH137" s="1" t="s">
        <v>91</v>
      </c>
      <c r="AK137" s="167"/>
      <c r="AL137" s="1" t="s">
        <v>437</v>
      </c>
      <c r="AN137" s="1" t="s">
        <v>437</v>
      </c>
      <c r="AO137" s="1" t="s">
        <v>437</v>
      </c>
      <c r="AP137" s="1" t="s">
        <v>437</v>
      </c>
      <c r="AQ137" s="1" t="s">
        <v>437</v>
      </c>
      <c r="AR137" s="1" t="s">
        <v>437</v>
      </c>
      <c r="AS137" s="1" t="s">
        <v>437</v>
      </c>
      <c r="AT137" s="1" t="s">
        <v>437</v>
      </c>
      <c r="AU137" s="1" t="s">
        <v>437</v>
      </c>
      <c r="AV137" s="168">
        <v>42309</v>
      </c>
      <c r="AW137" s="1">
        <f t="shared" ca="1" si="10"/>
        <v>9</v>
      </c>
      <c r="AX137" s="1" t="s">
        <v>445</v>
      </c>
      <c r="AY137" s="1">
        <v>6.7</v>
      </c>
      <c r="BA137" s="184" t="s">
        <v>356</v>
      </c>
      <c r="BB137" s="1" t="s">
        <v>448</v>
      </c>
      <c r="BC137" s="1">
        <v>0</v>
      </c>
      <c r="BD137" s="1">
        <v>0</v>
      </c>
      <c r="BK137" s="167"/>
      <c r="BU137" s="167"/>
      <c r="CE137" s="167"/>
      <c r="CI137" s="185" t="s">
        <v>230</v>
      </c>
    </row>
    <row r="138" spans="1:87" hidden="1">
      <c r="A138" s="4">
        <v>137</v>
      </c>
      <c r="B138" s="171">
        <v>25176</v>
      </c>
      <c r="C138" s="183" t="s">
        <v>220</v>
      </c>
      <c r="D138" s="1" t="s">
        <v>418</v>
      </c>
      <c r="E138" s="1">
        <f t="shared" ca="1" si="8"/>
        <v>56</v>
      </c>
      <c r="F138" s="1">
        <f t="shared" si="9"/>
        <v>43</v>
      </c>
      <c r="G138" s="1" t="s">
        <v>8</v>
      </c>
      <c r="H138" s="1" t="s">
        <v>13</v>
      </c>
      <c r="I138" s="1" t="s">
        <v>12</v>
      </c>
      <c r="J138" s="1">
        <v>1.76</v>
      </c>
      <c r="K138" s="1">
        <v>85</v>
      </c>
      <c r="M138" s="1">
        <v>1</v>
      </c>
      <c r="N138" s="1">
        <v>0</v>
      </c>
      <c r="O138" s="1">
        <v>0</v>
      </c>
      <c r="W138" s="1">
        <v>425</v>
      </c>
      <c r="X138" s="1">
        <v>0</v>
      </c>
      <c r="Y138" s="1">
        <v>5000</v>
      </c>
      <c r="Z138" s="1">
        <v>0</v>
      </c>
      <c r="AA138" s="1">
        <v>0</v>
      </c>
      <c r="AB138" s="184" t="s">
        <v>110</v>
      </c>
      <c r="AC138" s="184" t="s">
        <v>128</v>
      </c>
      <c r="AD138" s="184"/>
      <c r="AE138" s="184"/>
      <c r="AF138" s="184"/>
      <c r="AG138" s="166"/>
      <c r="AK138" s="167"/>
      <c r="AL138" s="1" t="s">
        <v>437</v>
      </c>
      <c r="AN138" s="1" t="s">
        <v>437</v>
      </c>
      <c r="AO138" s="1" t="s">
        <v>437</v>
      </c>
      <c r="AP138" s="1" t="s">
        <v>437</v>
      </c>
      <c r="AQ138" s="1" t="s">
        <v>437</v>
      </c>
      <c r="AR138" s="1" t="s">
        <v>437</v>
      </c>
      <c r="AS138" s="1" t="s">
        <v>437</v>
      </c>
      <c r="AT138" s="1" t="s">
        <v>437</v>
      </c>
      <c r="AU138" s="1" t="s">
        <v>437</v>
      </c>
      <c r="AV138" s="168">
        <v>41244</v>
      </c>
      <c r="AW138" s="1">
        <f t="shared" ca="1" si="10"/>
        <v>12</v>
      </c>
      <c r="AX138" s="1" t="s">
        <v>445</v>
      </c>
      <c r="AY138" s="1">
        <v>0</v>
      </c>
      <c r="BA138" s="184" t="s">
        <v>356</v>
      </c>
      <c r="BB138" s="1" t="s">
        <v>34</v>
      </c>
      <c r="BK138" s="167"/>
      <c r="BU138" s="167"/>
      <c r="CE138" s="167"/>
      <c r="CI138" s="15" t="s">
        <v>231</v>
      </c>
    </row>
    <row r="139" spans="1:87" hidden="1">
      <c r="A139" s="4">
        <v>138</v>
      </c>
      <c r="B139" s="171">
        <v>30767</v>
      </c>
      <c r="C139" s="183" t="s">
        <v>220</v>
      </c>
      <c r="D139" s="1" t="s">
        <v>170</v>
      </c>
      <c r="E139" s="1">
        <f t="shared" ca="1" si="8"/>
        <v>41</v>
      </c>
      <c r="F139" s="1">
        <f t="shared" si="9"/>
        <v>32</v>
      </c>
      <c r="G139" s="1" t="s">
        <v>8</v>
      </c>
      <c r="H139" s="1" t="s">
        <v>12</v>
      </c>
      <c r="I139" s="1" t="s">
        <v>12</v>
      </c>
      <c r="J139" s="1">
        <v>1.7</v>
      </c>
      <c r="K139" s="1">
        <v>60</v>
      </c>
      <c r="M139" s="1">
        <v>0</v>
      </c>
      <c r="N139" s="1">
        <v>0</v>
      </c>
      <c r="O139" s="1">
        <v>0</v>
      </c>
      <c r="P139" s="1">
        <v>51</v>
      </c>
      <c r="Q139" s="1">
        <v>52</v>
      </c>
      <c r="R139" s="1">
        <v>37</v>
      </c>
      <c r="S139" s="1">
        <v>60</v>
      </c>
      <c r="T139" s="1">
        <v>90</v>
      </c>
      <c r="U139" s="1">
        <v>41</v>
      </c>
      <c r="W139" s="1">
        <v>7109</v>
      </c>
      <c r="X139" s="1">
        <v>0</v>
      </c>
      <c r="Y139" s="1">
        <v>1200</v>
      </c>
      <c r="Z139" s="1">
        <v>0</v>
      </c>
      <c r="AA139" s="1">
        <v>0</v>
      </c>
      <c r="AB139" s="184"/>
      <c r="AC139" s="184" t="s">
        <v>91</v>
      </c>
      <c r="AD139" s="184"/>
      <c r="AE139" s="184"/>
      <c r="AF139" s="184"/>
      <c r="AG139" s="166"/>
      <c r="AH139" s="1" t="s">
        <v>110</v>
      </c>
      <c r="AK139" s="167"/>
      <c r="AL139" s="1" t="s">
        <v>437</v>
      </c>
      <c r="AN139" s="1" t="s">
        <v>437</v>
      </c>
      <c r="AO139" s="1" t="s">
        <v>437</v>
      </c>
      <c r="AP139" s="1" t="s">
        <v>437</v>
      </c>
      <c r="AQ139" s="1" t="s">
        <v>437</v>
      </c>
      <c r="AR139" s="1" t="s">
        <v>437</v>
      </c>
      <c r="AS139" s="1" t="s">
        <v>437</v>
      </c>
      <c r="AT139" s="1" t="s">
        <v>437</v>
      </c>
      <c r="AU139" s="1" t="s">
        <v>437</v>
      </c>
      <c r="AV139" s="168">
        <v>42614</v>
      </c>
      <c r="AW139" s="1">
        <f t="shared" ca="1" si="10"/>
        <v>8</v>
      </c>
      <c r="AX139" s="1" t="s">
        <v>445</v>
      </c>
      <c r="AY139" s="1">
        <v>4.5</v>
      </c>
      <c r="BA139" s="184" t="s">
        <v>34</v>
      </c>
      <c r="BB139" s="1" t="s">
        <v>448</v>
      </c>
      <c r="BC139" s="1">
        <v>0</v>
      </c>
      <c r="BD139" s="1">
        <v>0</v>
      </c>
      <c r="BK139" s="167"/>
      <c r="CE139" s="167"/>
      <c r="CG139" s="1">
        <v>1</v>
      </c>
      <c r="CI139" s="15" t="s">
        <v>223</v>
      </c>
    </row>
    <row r="140" spans="1:87" hidden="1">
      <c r="A140" s="4">
        <v>139</v>
      </c>
      <c r="B140" s="171">
        <v>23058</v>
      </c>
      <c r="C140" s="183" t="s">
        <v>220</v>
      </c>
      <c r="D140" s="1" t="s">
        <v>418</v>
      </c>
      <c r="E140" s="1">
        <f t="shared" ca="1" si="8"/>
        <v>62</v>
      </c>
      <c r="F140" s="1">
        <f t="shared" si="9"/>
        <v>53</v>
      </c>
      <c r="G140" s="1" t="s">
        <v>8</v>
      </c>
      <c r="H140" s="1" t="s">
        <v>12</v>
      </c>
      <c r="I140" s="1" t="s">
        <v>12</v>
      </c>
      <c r="J140" s="1">
        <v>1.81</v>
      </c>
      <c r="K140" s="1">
        <v>123</v>
      </c>
      <c r="M140" s="1">
        <v>0</v>
      </c>
      <c r="N140" s="1">
        <v>0</v>
      </c>
      <c r="O140" s="1">
        <v>1</v>
      </c>
      <c r="P140" s="1">
        <v>52</v>
      </c>
      <c r="Q140" s="1">
        <v>63</v>
      </c>
      <c r="R140" s="1">
        <v>98</v>
      </c>
      <c r="S140" s="1">
        <v>10</v>
      </c>
      <c r="T140" s="1">
        <v>100</v>
      </c>
      <c r="U140" s="1">
        <v>158</v>
      </c>
      <c r="X140" s="1">
        <v>0</v>
      </c>
      <c r="Y140" s="1">
        <v>600</v>
      </c>
      <c r="Z140" s="1">
        <v>0</v>
      </c>
      <c r="AA140" s="1">
        <v>0</v>
      </c>
      <c r="AB140" s="184"/>
      <c r="AC140" s="184" t="s">
        <v>91</v>
      </c>
      <c r="AD140" s="184"/>
      <c r="AE140" s="184"/>
      <c r="AF140" s="184" t="s">
        <v>110</v>
      </c>
      <c r="AG140" s="166"/>
      <c r="AH140" s="1" t="s">
        <v>91</v>
      </c>
      <c r="AL140" s="166" t="s">
        <v>437</v>
      </c>
      <c r="AN140" s="1" t="s">
        <v>437</v>
      </c>
      <c r="AO140" s="1" t="s">
        <v>437</v>
      </c>
      <c r="AP140" s="1" t="s">
        <v>437</v>
      </c>
      <c r="AQ140" s="1" t="s">
        <v>437</v>
      </c>
      <c r="AR140" s="1" t="s">
        <v>437</v>
      </c>
      <c r="AS140" s="1" t="s">
        <v>437</v>
      </c>
      <c r="AT140" s="1" t="s">
        <v>437</v>
      </c>
      <c r="AU140" s="1" t="s">
        <v>437</v>
      </c>
      <c r="AV140" s="168">
        <v>42705</v>
      </c>
      <c r="AW140" s="1">
        <f t="shared" ca="1" si="10"/>
        <v>8</v>
      </c>
      <c r="AX140" s="1" t="s">
        <v>445</v>
      </c>
      <c r="AY140" s="1">
        <v>4</v>
      </c>
      <c r="BA140" s="184" t="s">
        <v>356</v>
      </c>
      <c r="BB140" s="1" t="s">
        <v>448</v>
      </c>
      <c r="BC140" s="1">
        <v>0</v>
      </c>
      <c r="BD140" s="1">
        <v>0</v>
      </c>
      <c r="BE140" s="1">
        <v>1</v>
      </c>
      <c r="BK140" s="1" t="s">
        <v>470</v>
      </c>
      <c r="CI140" s="32" t="s">
        <v>232</v>
      </c>
    </row>
    <row r="141" spans="1:87" ht="28.8" hidden="1">
      <c r="A141" s="4">
        <v>140</v>
      </c>
      <c r="B141" s="171">
        <v>32406</v>
      </c>
      <c r="C141" s="183" t="s">
        <v>220</v>
      </c>
      <c r="D141" s="1" t="s">
        <v>170</v>
      </c>
      <c r="E141" s="1">
        <f t="shared" ca="1" si="8"/>
        <v>36</v>
      </c>
      <c r="F141" s="1">
        <f t="shared" si="9"/>
        <v>26</v>
      </c>
      <c r="G141" s="1" t="s">
        <v>6</v>
      </c>
      <c r="H141" s="1" t="s">
        <v>12</v>
      </c>
      <c r="I141" s="1" t="s">
        <v>12</v>
      </c>
      <c r="J141" s="1">
        <v>1.67</v>
      </c>
      <c r="K141" s="1">
        <v>57</v>
      </c>
      <c r="M141" s="1">
        <v>0</v>
      </c>
      <c r="N141" s="1">
        <v>0</v>
      </c>
      <c r="O141" s="1">
        <v>0</v>
      </c>
      <c r="P141" s="1">
        <v>79</v>
      </c>
      <c r="Q141" s="1">
        <v>94</v>
      </c>
      <c r="R141" s="1">
        <v>7</v>
      </c>
      <c r="S141" s="1">
        <v>15</v>
      </c>
      <c r="T141" s="1">
        <v>74</v>
      </c>
      <c r="U141" s="1">
        <v>264</v>
      </c>
      <c r="V141" s="1">
        <v>37</v>
      </c>
      <c r="W141" s="1">
        <v>10673</v>
      </c>
      <c r="X141" s="1">
        <v>0</v>
      </c>
      <c r="Y141" s="1">
        <v>243</v>
      </c>
      <c r="Z141" s="1">
        <v>0</v>
      </c>
      <c r="AA141" s="1">
        <v>0</v>
      </c>
      <c r="AB141" s="184" t="s">
        <v>110</v>
      </c>
      <c r="AC141" s="184" t="s">
        <v>83</v>
      </c>
      <c r="AD141" s="184"/>
      <c r="AE141" s="184"/>
      <c r="AF141" s="184"/>
      <c r="AG141" s="166" t="s">
        <v>83</v>
      </c>
      <c r="AK141" s="167"/>
      <c r="AL141" s="1" t="s">
        <v>438</v>
      </c>
      <c r="AM141" s="1" t="s">
        <v>84</v>
      </c>
      <c r="AN141" s="1" t="s">
        <v>437</v>
      </c>
      <c r="AO141" s="1" t="s">
        <v>437</v>
      </c>
      <c r="AP141" s="1" t="s">
        <v>437</v>
      </c>
      <c r="AQ141" s="1" t="s">
        <v>437</v>
      </c>
      <c r="AR141" s="1" t="s">
        <v>437</v>
      </c>
      <c r="AS141" s="1" t="s">
        <v>437</v>
      </c>
      <c r="AT141" s="1" t="s">
        <v>437</v>
      </c>
      <c r="AU141" s="1" t="s">
        <v>437</v>
      </c>
      <c r="AV141" s="168">
        <v>42186</v>
      </c>
      <c r="AW141" s="1">
        <f t="shared" ca="1" si="10"/>
        <v>10</v>
      </c>
      <c r="AX141" s="1" t="s">
        <v>445</v>
      </c>
      <c r="AY141" s="1">
        <v>5</v>
      </c>
      <c r="BA141" s="184" t="s">
        <v>34</v>
      </c>
      <c r="BB141" s="1" t="s">
        <v>448</v>
      </c>
      <c r="BC141" s="1">
        <v>0</v>
      </c>
      <c r="BD141" s="1">
        <v>0</v>
      </c>
      <c r="BU141" s="167"/>
      <c r="CE141" s="167"/>
      <c r="CG141" s="1">
        <v>1</v>
      </c>
      <c r="CI141" s="15" t="s">
        <v>233</v>
      </c>
    </row>
    <row r="142" spans="1:87" ht="28.8" hidden="1">
      <c r="A142" s="4">
        <v>141</v>
      </c>
      <c r="B142" s="171">
        <v>22577</v>
      </c>
      <c r="C142" s="183" t="s">
        <v>220</v>
      </c>
      <c r="D142" s="1" t="s">
        <v>418</v>
      </c>
      <c r="E142" s="1">
        <f t="shared" ca="1" si="8"/>
        <v>63</v>
      </c>
      <c r="F142" s="1">
        <f t="shared" si="9"/>
        <v>44</v>
      </c>
      <c r="G142" s="1" t="s">
        <v>5</v>
      </c>
      <c r="H142" s="1" t="s">
        <v>13</v>
      </c>
      <c r="I142" s="1" t="s">
        <v>13</v>
      </c>
      <c r="J142" s="1">
        <v>1.83</v>
      </c>
      <c r="K142" s="1">
        <v>98</v>
      </c>
      <c r="M142" s="1">
        <v>0</v>
      </c>
      <c r="N142" s="1">
        <v>0</v>
      </c>
      <c r="O142" s="1">
        <v>0</v>
      </c>
      <c r="X142" s="1">
        <v>0</v>
      </c>
      <c r="Y142" s="1">
        <v>0</v>
      </c>
      <c r="Z142" s="1">
        <v>1</v>
      </c>
      <c r="AA142" s="1">
        <v>0</v>
      </c>
      <c r="AB142" s="184"/>
      <c r="AC142" s="184" t="s">
        <v>83</v>
      </c>
      <c r="AD142" s="184"/>
      <c r="AE142" s="184"/>
      <c r="AF142" s="184"/>
      <c r="AG142" s="166"/>
      <c r="AH142" s="1" t="s">
        <v>83</v>
      </c>
      <c r="AK142" s="167"/>
      <c r="AL142" s="1" t="s">
        <v>438</v>
      </c>
      <c r="AM142" s="1" t="s">
        <v>84</v>
      </c>
      <c r="AN142" s="1" t="s">
        <v>437</v>
      </c>
      <c r="AO142" s="1" t="s">
        <v>437</v>
      </c>
      <c r="AP142" s="1" t="s">
        <v>437</v>
      </c>
      <c r="AQ142" s="1" t="s">
        <v>437</v>
      </c>
      <c r="AR142" s="1" t="s">
        <v>440</v>
      </c>
      <c r="AS142" s="1" t="s">
        <v>437</v>
      </c>
      <c r="AT142" s="1" t="s">
        <v>437</v>
      </c>
      <c r="AU142" s="1" t="s">
        <v>437</v>
      </c>
      <c r="AV142" s="168">
        <v>38991</v>
      </c>
      <c r="AW142" s="1">
        <f t="shared" ca="1" si="10"/>
        <v>18</v>
      </c>
      <c r="AX142" s="1" t="s">
        <v>444</v>
      </c>
      <c r="AY142" s="1">
        <v>2</v>
      </c>
      <c r="BA142" s="184" t="s">
        <v>34</v>
      </c>
      <c r="BB142" s="1" t="s">
        <v>448</v>
      </c>
      <c r="BC142" s="1">
        <v>0</v>
      </c>
      <c r="BD142" s="1">
        <v>1</v>
      </c>
      <c r="BK142" s="167"/>
      <c r="BL142" s="1" t="s">
        <v>472</v>
      </c>
      <c r="BM142" s="1" t="s">
        <v>480</v>
      </c>
      <c r="BN142" s="1" t="s">
        <v>482</v>
      </c>
      <c r="BU142" s="167"/>
      <c r="CE142" s="167"/>
      <c r="CI142" s="15" t="s">
        <v>234</v>
      </c>
    </row>
    <row r="143" spans="1:87" hidden="1">
      <c r="A143" s="4">
        <v>142</v>
      </c>
      <c r="B143" s="171">
        <v>23572</v>
      </c>
      <c r="C143" s="183" t="s">
        <v>220</v>
      </c>
      <c r="D143" s="1" t="s">
        <v>418</v>
      </c>
      <c r="E143" s="1">
        <f t="shared" ca="1" si="8"/>
        <v>61</v>
      </c>
      <c r="F143" s="1">
        <f t="shared" si="9"/>
        <v>57</v>
      </c>
      <c r="G143" s="1" t="s">
        <v>8</v>
      </c>
      <c r="H143" s="1" t="s">
        <v>12</v>
      </c>
      <c r="I143" s="1" t="s">
        <v>12</v>
      </c>
      <c r="J143" s="1">
        <v>1.8</v>
      </c>
      <c r="K143" s="1">
        <v>78</v>
      </c>
      <c r="M143" s="1">
        <v>0</v>
      </c>
      <c r="N143" s="1">
        <v>0</v>
      </c>
      <c r="O143" s="1">
        <v>0</v>
      </c>
      <c r="P143" s="1">
        <v>42</v>
      </c>
      <c r="Q143" s="1">
        <v>76</v>
      </c>
      <c r="R143" s="1">
        <v>37</v>
      </c>
      <c r="S143" s="1">
        <v>6</v>
      </c>
      <c r="T143" s="1">
        <v>100</v>
      </c>
      <c r="U143" s="1">
        <v>113</v>
      </c>
      <c r="W143" s="1">
        <v>12693</v>
      </c>
      <c r="X143" s="1">
        <v>0</v>
      </c>
      <c r="Y143" s="1">
        <v>212</v>
      </c>
      <c r="Z143" s="1">
        <v>0</v>
      </c>
      <c r="AA143" s="1">
        <v>0</v>
      </c>
      <c r="AB143" s="184"/>
      <c r="AC143" s="184" t="s">
        <v>91</v>
      </c>
      <c r="AD143" s="184"/>
      <c r="AE143" s="184"/>
      <c r="AF143" s="184" t="s">
        <v>110</v>
      </c>
      <c r="AG143" s="166"/>
      <c r="AH143" s="1" t="s">
        <v>91</v>
      </c>
      <c r="AK143" s="167"/>
      <c r="AL143" s="1" t="s">
        <v>437</v>
      </c>
      <c r="AN143" s="1" t="s">
        <v>437</v>
      </c>
      <c r="AO143" s="1" t="s">
        <v>437</v>
      </c>
      <c r="AP143" s="1" t="s">
        <v>437</v>
      </c>
      <c r="AQ143" s="1" t="s">
        <v>437</v>
      </c>
      <c r="AR143" s="1" t="s">
        <v>437</v>
      </c>
      <c r="AS143" s="1" t="s">
        <v>437</v>
      </c>
      <c r="AT143" s="1" t="s">
        <v>437</v>
      </c>
      <c r="AU143" s="1" t="s">
        <v>437</v>
      </c>
      <c r="AV143" s="168">
        <v>44470</v>
      </c>
      <c r="AW143" s="1">
        <f t="shared" ca="1" si="10"/>
        <v>3</v>
      </c>
      <c r="AX143" s="1" t="s">
        <v>445</v>
      </c>
      <c r="AY143" s="1">
        <v>2</v>
      </c>
      <c r="BA143" s="184" t="s">
        <v>356</v>
      </c>
      <c r="BB143" s="1" t="s">
        <v>448</v>
      </c>
      <c r="BC143" s="1">
        <v>0</v>
      </c>
      <c r="BD143" s="1">
        <v>0</v>
      </c>
      <c r="BK143" s="167"/>
      <c r="BU143" s="167"/>
      <c r="CE143" s="167"/>
      <c r="CI143" s="15" t="s">
        <v>235</v>
      </c>
    </row>
    <row r="144" spans="1:87" hidden="1">
      <c r="A144" s="4">
        <v>143</v>
      </c>
      <c r="B144" s="171">
        <v>30987</v>
      </c>
      <c r="C144" s="183" t="s">
        <v>220</v>
      </c>
      <c r="D144" s="1" t="s">
        <v>418</v>
      </c>
      <c r="E144" s="1">
        <f t="shared" ca="1" si="8"/>
        <v>40</v>
      </c>
      <c r="F144" s="1">
        <f t="shared" si="9"/>
        <v>36</v>
      </c>
      <c r="G144" s="1" t="s">
        <v>9</v>
      </c>
      <c r="H144" s="1" t="s">
        <v>12</v>
      </c>
      <c r="I144" s="1" t="s">
        <v>12</v>
      </c>
      <c r="J144" s="1">
        <v>1.75</v>
      </c>
      <c r="K144" s="1">
        <v>75</v>
      </c>
      <c r="M144" s="1">
        <v>0</v>
      </c>
      <c r="N144" s="1">
        <v>0</v>
      </c>
      <c r="O144" s="1">
        <v>0</v>
      </c>
      <c r="P144" s="1">
        <v>143</v>
      </c>
      <c r="Q144" s="1">
        <v>247</v>
      </c>
      <c r="R144" s="1">
        <v>213</v>
      </c>
      <c r="S144" s="1">
        <v>21</v>
      </c>
      <c r="T144" s="1">
        <v>74</v>
      </c>
      <c r="U144" s="1">
        <v>120</v>
      </c>
      <c r="W144" s="1">
        <v>14446</v>
      </c>
      <c r="X144" s="1">
        <v>0</v>
      </c>
      <c r="Y144" s="1">
        <v>75</v>
      </c>
      <c r="Z144" s="1">
        <v>0</v>
      </c>
      <c r="AA144" s="1">
        <v>0</v>
      </c>
      <c r="AB144" s="184" t="s">
        <v>106</v>
      </c>
      <c r="AC144" s="184" t="s">
        <v>106</v>
      </c>
      <c r="AD144" s="184"/>
      <c r="AE144" s="184"/>
      <c r="AF144" s="184"/>
      <c r="AG144" s="166"/>
      <c r="AH144" s="1" t="s">
        <v>83</v>
      </c>
      <c r="AK144" s="167"/>
      <c r="AL144" s="1" t="s">
        <v>438</v>
      </c>
      <c r="AM144" s="1" t="s">
        <v>84</v>
      </c>
      <c r="AN144" s="1" t="s">
        <v>437</v>
      </c>
      <c r="AO144" s="1" t="s">
        <v>437</v>
      </c>
      <c r="AP144" s="1" t="s">
        <v>437</v>
      </c>
      <c r="AQ144" s="1" t="s">
        <v>437</v>
      </c>
      <c r="AR144" s="1" t="s">
        <v>437</v>
      </c>
      <c r="AS144" s="1" t="s">
        <v>437</v>
      </c>
      <c r="AT144" s="1" t="s">
        <v>437</v>
      </c>
      <c r="AU144" s="1" t="s">
        <v>437</v>
      </c>
      <c r="AV144" s="168">
        <v>44348</v>
      </c>
      <c r="AW144" s="1">
        <f t="shared" ca="1" si="10"/>
        <v>4</v>
      </c>
      <c r="AX144" s="1" t="s">
        <v>445</v>
      </c>
      <c r="AY144" s="1">
        <v>7</v>
      </c>
      <c r="BA144" s="184" t="s">
        <v>356</v>
      </c>
      <c r="BB144" s="1" t="s">
        <v>448</v>
      </c>
      <c r="BC144" s="1">
        <v>0</v>
      </c>
      <c r="BD144" s="1">
        <v>1</v>
      </c>
      <c r="BK144" s="167"/>
      <c r="BL144" s="1" t="s">
        <v>447</v>
      </c>
      <c r="BN144" s="1" t="s">
        <v>483</v>
      </c>
      <c r="BU144" s="167"/>
      <c r="CE144" s="167"/>
      <c r="CG144" s="1">
        <v>1</v>
      </c>
      <c r="CI144" s="15" t="s">
        <v>236</v>
      </c>
    </row>
    <row r="145" spans="1:87" ht="28.8" hidden="1">
      <c r="A145" s="4">
        <v>144</v>
      </c>
      <c r="B145" s="171">
        <v>29893</v>
      </c>
      <c r="C145" s="183" t="s">
        <v>220</v>
      </c>
      <c r="D145" s="1" t="s">
        <v>418</v>
      </c>
      <c r="E145" s="1">
        <f t="shared" ca="1" si="8"/>
        <v>43</v>
      </c>
      <c r="F145" s="1">
        <f t="shared" si="9"/>
        <v>27</v>
      </c>
      <c r="G145" s="1" t="s">
        <v>8</v>
      </c>
      <c r="H145" s="1" t="s">
        <v>12</v>
      </c>
      <c r="I145" s="1" t="s">
        <v>12</v>
      </c>
      <c r="J145" s="1">
        <v>1.75</v>
      </c>
      <c r="K145" s="1">
        <v>115</v>
      </c>
      <c r="M145" s="1">
        <v>0</v>
      </c>
      <c r="N145" s="1">
        <v>1</v>
      </c>
      <c r="O145" s="1">
        <v>1</v>
      </c>
      <c r="P145" s="1">
        <v>52</v>
      </c>
      <c r="Q145" s="1">
        <v>87</v>
      </c>
      <c r="R145" s="1">
        <v>95</v>
      </c>
      <c r="S145" s="1">
        <v>9</v>
      </c>
      <c r="T145" s="1">
        <v>80</v>
      </c>
      <c r="U145" s="1">
        <v>120</v>
      </c>
      <c r="V145" s="1">
        <v>41</v>
      </c>
      <c r="W145" s="1">
        <v>235</v>
      </c>
      <c r="X145" s="1">
        <v>0</v>
      </c>
      <c r="Y145" s="1">
        <v>0</v>
      </c>
      <c r="Z145" s="1">
        <v>0</v>
      </c>
      <c r="AA145" s="1">
        <v>0</v>
      </c>
      <c r="AB145" s="184"/>
      <c r="AC145" s="184" t="s">
        <v>106</v>
      </c>
      <c r="AD145" s="184"/>
      <c r="AE145" s="184"/>
      <c r="AF145" s="184"/>
      <c r="AG145" s="166"/>
      <c r="AH145" s="1" t="s">
        <v>110</v>
      </c>
      <c r="AK145" s="167"/>
      <c r="AL145" s="1" t="s">
        <v>437</v>
      </c>
      <c r="AN145" s="1" t="s">
        <v>437</v>
      </c>
      <c r="AO145" s="1" t="s">
        <v>437</v>
      </c>
      <c r="AP145" s="1" t="s">
        <v>437</v>
      </c>
      <c r="AQ145" s="1" t="s">
        <v>437</v>
      </c>
      <c r="AR145" s="1" t="s">
        <v>437</v>
      </c>
      <c r="AS145" s="1" t="s">
        <v>437</v>
      </c>
      <c r="AT145" s="1" t="s">
        <v>437</v>
      </c>
      <c r="AU145" s="1" t="s">
        <v>437</v>
      </c>
      <c r="AV145" s="168">
        <v>39783</v>
      </c>
      <c r="AW145" s="1">
        <f t="shared" ca="1" si="10"/>
        <v>16</v>
      </c>
      <c r="AX145" s="1" t="s">
        <v>445</v>
      </c>
      <c r="AY145" s="1">
        <v>4</v>
      </c>
      <c r="BA145" s="184" t="s">
        <v>356</v>
      </c>
      <c r="BB145" s="1" t="s">
        <v>448</v>
      </c>
      <c r="BC145" s="1">
        <v>0</v>
      </c>
      <c r="BD145" s="1">
        <v>0</v>
      </c>
      <c r="BE145" s="1">
        <v>1</v>
      </c>
      <c r="BK145" s="167" t="s">
        <v>465</v>
      </c>
      <c r="BL145" s="1" t="s">
        <v>447</v>
      </c>
      <c r="BM145" s="1" t="s">
        <v>480</v>
      </c>
      <c r="BN145" s="1" t="s">
        <v>482</v>
      </c>
      <c r="BO145" s="1">
        <v>1</v>
      </c>
      <c r="BT145" s="1">
        <v>1</v>
      </c>
      <c r="BU145" s="167"/>
      <c r="CE145" s="167"/>
      <c r="CG145" s="1">
        <v>1</v>
      </c>
      <c r="CI145" s="15" t="s">
        <v>237</v>
      </c>
    </row>
    <row r="146" spans="1:87" ht="28.8" hidden="1">
      <c r="A146" s="4">
        <v>145</v>
      </c>
      <c r="B146" s="186">
        <v>33841</v>
      </c>
      <c r="C146" s="183" t="s">
        <v>220</v>
      </c>
      <c r="D146" s="1" t="s">
        <v>418</v>
      </c>
      <c r="E146" s="1">
        <f t="shared" ca="1" si="8"/>
        <v>32</v>
      </c>
      <c r="F146" s="1">
        <f t="shared" si="9"/>
        <v>27</v>
      </c>
      <c r="G146" s="1" t="s">
        <v>8</v>
      </c>
      <c r="H146" s="1" t="s">
        <v>12</v>
      </c>
      <c r="I146" s="1" t="s">
        <v>12</v>
      </c>
      <c r="M146" s="1">
        <v>0</v>
      </c>
      <c r="N146" s="1">
        <v>0</v>
      </c>
      <c r="O146" s="1">
        <v>0</v>
      </c>
      <c r="P146" s="1">
        <v>105</v>
      </c>
      <c r="Q146" s="1">
        <v>177</v>
      </c>
      <c r="R146" s="1">
        <v>68</v>
      </c>
      <c r="S146" s="1">
        <v>9</v>
      </c>
      <c r="T146" s="1">
        <v>76</v>
      </c>
      <c r="U146" s="1">
        <v>88</v>
      </c>
      <c r="V146" s="1">
        <v>43</v>
      </c>
      <c r="W146" s="1">
        <v>14447</v>
      </c>
      <c r="X146" s="1">
        <v>0</v>
      </c>
      <c r="Y146" s="1">
        <v>0</v>
      </c>
      <c r="Z146" s="1">
        <v>0</v>
      </c>
      <c r="AA146" s="1">
        <v>0</v>
      </c>
      <c r="AB146" s="184" t="s">
        <v>106</v>
      </c>
      <c r="AC146" s="184" t="s">
        <v>106</v>
      </c>
      <c r="AD146" s="184"/>
      <c r="AE146" s="184"/>
      <c r="AF146" s="184"/>
      <c r="AG146" s="166"/>
      <c r="AH146" s="1" t="s">
        <v>110</v>
      </c>
      <c r="AK146" s="167"/>
      <c r="AL146" s="1" t="s">
        <v>437</v>
      </c>
      <c r="AN146" s="1" t="s">
        <v>437</v>
      </c>
      <c r="AO146" s="1" t="s">
        <v>437</v>
      </c>
      <c r="AP146" s="1" t="s">
        <v>437</v>
      </c>
      <c r="AQ146" s="1" t="s">
        <v>437</v>
      </c>
      <c r="AR146" s="1" t="s">
        <v>437</v>
      </c>
      <c r="AS146" s="1" t="s">
        <v>437</v>
      </c>
      <c r="AT146" s="1" t="s">
        <v>437</v>
      </c>
      <c r="AU146" s="1" t="s">
        <v>437</v>
      </c>
      <c r="AV146" s="168">
        <v>43831</v>
      </c>
      <c r="AW146" s="1">
        <f t="shared" ca="1" si="10"/>
        <v>5</v>
      </c>
      <c r="AX146" s="1" t="s">
        <v>445</v>
      </c>
      <c r="AY146" s="1">
        <v>7.6</v>
      </c>
      <c r="BA146" s="184" t="s">
        <v>356</v>
      </c>
      <c r="BB146" s="1" t="s">
        <v>448</v>
      </c>
      <c r="BC146" s="1">
        <v>0</v>
      </c>
      <c r="BD146" s="1">
        <v>1</v>
      </c>
      <c r="BK146" s="167"/>
      <c r="BL146" s="1" t="s">
        <v>447</v>
      </c>
      <c r="BM146" s="1" t="s">
        <v>480</v>
      </c>
      <c r="BN146" s="1" t="s">
        <v>482</v>
      </c>
      <c r="BO146" s="1">
        <v>1</v>
      </c>
      <c r="BT146" s="1">
        <v>1</v>
      </c>
      <c r="BU146" s="167"/>
      <c r="CE146" s="167"/>
      <c r="CI146" s="15" t="s">
        <v>238</v>
      </c>
    </row>
    <row r="147" spans="1:87" hidden="1">
      <c r="A147" s="4">
        <v>146</v>
      </c>
      <c r="B147" s="171">
        <v>31005</v>
      </c>
      <c r="C147" s="183" t="s">
        <v>220</v>
      </c>
      <c r="D147" s="1" t="s">
        <v>170</v>
      </c>
      <c r="E147" s="1">
        <f t="shared" ca="1" si="8"/>
        <v>40</v>
      </c>
      <c r="F147" s="1">
        <f t="shared" si="9"/>
        <v>33</v>
      </c>
      <c r="G147" s="1" t="s">
        <v>419</v>
      </c>
      <c r="H147" s="1" t="s">
        <v>13</v>
      </c>
      <c r="I147" s="1" t="s">
        <v>12</v>
      </c>
      <c r="J147" s="1">
        <v>1.75</v>
      </c>
      <c r="K147" s="1">
        <v>69</v>
      </c>
      <c r="M147" s="1">
        <v>0</v>
      </c>
      <c r="N147" s="1">
        <v>0</v>
      </c>
      <c r="O147" s="1">
        <v>0</v>
      </c>
      <c r="P147" s="1">
        <v>56</v>
      </c>
      <c r="Q147" s="1">
        <v>82</v>
      </c>
      <c r="R147" s="1">
        <v>234</v>
      </c>
      <c r="S147" s="1">
        <v>15</v>
      </c>
      <c r="T147" s="1">
        <v>58</v>
      </c>
      <c r="U147" s="1">
        <v>35</v>
      </c>
      <c r="V147" s="1">
        <v>40</v>
      </c>
      <c r="X147" s="1">
        <v>0</v>
      </c>
      <c r="Y147" s="1">
        <v>13</v>
      </c>
      <c r="Z147" s="1">
        <v>0</v>
      </c>
      <c r="AA147" s="1">
        <v>0</v>
      </c>
      <c r="AB147" s="184"/>
      <c r="AC147" s="184" t="s">
        <v>83</v>
      </c>
      <c r="AD147" s="184"/>
      <c r="AE147" s="184"/>
      <c r="AF147" s="184" t="s">
        <v>83</v>
      </c>
      <c r="AG147" s="166"/>
      <c r="AH147" s="1" t="s">
        <v>83</v>
      </c>
      <c r="AK147" s="167"/>
      <c r="AL147" s="1" t="s">
        <v>438</v>
      </c>
      <c r="AM147" s="1" t="s">
        <v>84</v>
      </c>
      <c r="AN147" s="1" t="s">
        <v>440</v>
      </c>
      <c r="AO147" s="1" t="s">
        <v>437</v>
      </c>
      <c r="AP147" s="1" t="s">
        <v>437</v>
      </c>
      <c r="AQ147" s="1" t="s">
        <v>437</v>
      </c>
      <c r="AR147" s="1" t="s">
        <v>437</v>
      </c>
      <c r="AS147" s="1" t="s">
        <v>437</v>
      </c>
      <c r="AT147" s="1" t="s">
        <v>437</v>
      </c>
      <c r="AU147" s="1" t="s">
        <v>437</v>
      </c>
      <c r="AV147" s="168">
        <v>43070</v>
      </c>
      <c r="AW147" s="1">
        <f t="shared" ca="1" si="10"/>
        <v>7</v>
      </c>
      <c r="AX147" s="1" t="s">
        <v>30</v>
      </c>
      <c r="AY147" s="1">
        <v>4.2</v>
      </c>
      <c r="BA147" s="184" t="s">
        <v>356</v>
      </c>
      <c r="BB147" s="1" t="s">
        <v>448</v>
      </c>
      <c r="BC147" s="1">
        <v>0</v>
      </c>
      <c r="BD147" s="1">
        <v>0</v>
      </c>
      <c r="BE147" s="1">
        <v>1</v>
      </c>
      <c r="BF147" s="1">
        <v>1</v>
      </c>
      <c r="BK147" s="167"/>
      <c r="BU147" s="167"/>
      <c r="CE147" s="167"/>
      <c r="CI147" s="15" t="s">
        <v>239</v>
      </c>
    </row>
    <row r="148" spans="1:87" hidden="1">
      <c r="A148" s="4">
        <v>147</v>
      </c>
      <c r="B148" s="171">
        <v>31176</v>
      </c>
      <c r="C148" s="183" t="s">
        <v>220</v>
      </c>
      <c r="D148" s="1" t="s">
        <v>170</v>
      </c>
      <c r="E148" s="1">
        <f t="shared" ca="1" si="8"/>
        <v>40</v>
      </c>
      <c r="F148" s="1">
        <f t="shared" si="9"/>
        <v>34</v>
      </c>
      <c r="G148" s="1" t="s">
        <v>8</v>
      </c>
      <c r="H148" s="1" t="s">
        <v>12</v>
      </c>
      <c r="I148" s="1" t="s">
        <v>12</v>
      </c>
      <c r="M148" s="1">
        <v>0</v>
      </c>
      <c r="N148" s="1">
        <v>0</v>
      </c>
      <c r="O148" s="1">
        <v>0</v>
      </c>
      <c r="P148" s="1">
        <v>30</v>
      </c>
      <c r="Q148" s="1">
        <v>58</v>
      </c>
      <c r="S148" s="1">
        <v>26</v>
      </c>
      <c r="U148" s="1">
        <v>135</v>
      </c>
      <c r="X148" s="1">
        <v>0</v>
      </c>
      <c r="Y148" s="1">
        <v>26</v>
      </c>
      <c r="Z148" s="1">
        <v>0</v>
      </c>
      <c r="AA148" s="1">
        <v>0</v>
      </c>
      <c r="AB148" s="184"/>
      <c r="AC148" s="187" t="s">
        <v>110</v>
      </c>
      <c r="AD148" s="187"/>
      <c r="AE148" s="187"/>
      <c r="AF148" s="184" t="s">
        <v>110</v>
      </c>
      <c r="AG148" s="166"/>
      <c r="AK148" s="167"/>
      <c r="AL148" s="1" t="s">
        <v>437</v>
      </c>
      <c r="AN148" s="1" t="s">
        <v>437</v>
      </c>
      <c r="AO148" s="1" t="s">
        <v>437</v>
      </c>
      <c r="AP148" s="1" t="s">
        <v>437</v>
      </c>
      <c r="AQ148" s="1" t="s">
        <v>437</v>
      </c>
      <c r="AR148" s="1" t="s">
        <v>437</v>
      </c>
      <c r="AS148" s="1" t="s">
        <v>437</v>
      </c>
      <c r="AT148" s="1" t="s">
        <v>437</v>
      </c>
      <c r="AU148" s="1" t="s">
        <v>437</v>
      </c>
      <c r="AV148" s="168">
        <v>43709</v>
      </c>
      <c r="AW148" s="1">
        <f t="shared" ca="1" si="10"/>
        <v>5</v>
      </c>
      <c r="AX148" s="1" t="s">
        <v>445</v>
      </c>
      <c r="AY148" s="1">
        <v>5</v>
      </c>
      <c r="BA148" s="184" t="s">
        <v>34</v>
      </c>
      <c r="BB148" s="1" t="s">
        <v>34</v>
      </c>
      <c r="BK148" s="167"/>
      <c r="BU148" s="167"/>
      <c r="CE148" s="167"/>
      <c r="CG148" s="1">
        <v>1</v>
      </c>
      <c r="CI148" s="15" t="s">
        <v>224</v>
      </c>
    </row>
    <row r="149" spans="1:87" ht="28.8" hidden="1">
      <c r="A149" s="4">
        <v>148</v>
      </c>
      <c r="B149" s="171">
        <v>18726</v>
      </c>
      <c r="C149" s="183" t="s">
        <v>220</v>
      </c>
      <c r="D149" s="1" t="s">
        <v>418</v>
      </c>
      <c r="E149" s="1">
        <f t="shared" ca="1" si="8"/>
        <v>74</v>
      </c>
      <c r="F149" s="1">
        <f t="shared" si="9"/>
        <v>58</v>
      </c>
      <c r="G149" s="1" t="s">
        <v>5</v>
      </c>
      <c r="H149" s="1" t="s">
        <v>13</v>
      </c>
      <c r="I149" s="1" t="s">
        <v>14</v>
      </c>
      <c r="J149" s="1">
        <v>1.82</v>
      </c>
      <c r="K149" s="1">
        <v>64</v>
      </c>
      <c r="M149" s="1">
        <v>0</v>
      </c>
      <c r="N149" s="1">
        <v>0</v>
      </c>
      <c r="O149" s="1">
        <v>0</v>
      </c>
      <c r="P149" s="1">
        <v>115</v>
      </c>
      <c r="Q149" s="1">
        <v>135</v>
      </c>
      <c r="R149" s="1">
        <v>250</v>
      </c>
      <c r="S149" s="1">
        <v>18</v>
      </c>
      <c r="T149" s="1">
        <v>90</v>
      </c>
      <c r="U149" s="1">
        <v>88</v>
      </c>
      <c r="V149" s="1">
        <v>45</v>
      </c>
      <c r="X149" s="1">
        <v>0</v>
      </c>
      <c r="Y149" s="1">
        <v>17000</v>
      </c>
      <c r="Z149" s="1">
        <v>0</v>
      </c>
      <c r="AA149" s="1">
        <v>0</v>
      </c>
      <c r="AB149" s="184"/>
      <c r="AC149" s="184" t="s">
        <v>83</v>
      </c>
      <c r="AD149" s="184"/>
      <c r="AE149" s="184"/>
      <c r="AF149" s="184"/>
      <c r="AG149" s="166"/>
      <c r="AH149" s="1" t="s">
        <v>83</v>
      </c>
      <c r="AK149" s="167"/>
      <c r="AL149" s="1" t="s">
        <v>438</v>
      </c>
      <c r="AM149" s="1" t="s">
        <v>84</v>
      </c>
      <c r="AN149" s="1" t="s">
        <v>437</v>
      </c>
      <c r="AO149" s="1" t="s">
        <v>437</v>
      </c>
      <c r="AP149" s="1" t="s">
        <v>437</v>
      </c>
      <c r="AQ149" s="1" t="s">
        <v>437</v>
      </c>
      <c r="AR149" s="1" t="s">
        <v>440</v>
      </c>
      <c r="AS149" s="1" t="s">
        <v>437</v>
      </c>
      <c r="AT149" s="1" t="s">
        <v>440</v>
      </c>
      <c r="AU149" s="1" t="s">
        <v>440</v>
      </c>
      <c r="AV149" s="168">
        <v>40057</v>
      </c>
      <c r="AW149" s="1">
        <f t="shared" ca="1" si="10"/>
        <v>15</v>
      </c>
      <c r="AX149" s="1" t="s">
        <v>30</v>
      </c>
      <c r="AY149" s="1">
        <v>4</v>
      </c>
      <c r="BA149" s="184" t="s">
        <v>356</v>
      </c>
      <c r="BB149" s="1" t="s">
        <v>448</v>
      </c>
      <c r="BC149" s="1">
        <v>0</v>
      </c>
      <c r="BD149" s="1">
        <v>1</v>
      </c>
      <c r="BK149" s="167"/>
      <c r="BU149" s="167"/>
      <c r="CE149" s="167"/>
      <c r="CI149" s="15" t="s">
        <v>240</v>
      </c>
    </row>
    <row r="150" spans="1:87" hidden="1">
      <c r="A150" s="4">
        <v>149</v>
      </c>
      <c r="B150" s="171">
        <v>24731</v>
      </c>
      <c r="C150" s="183" t="s">
        <v>220</v>
      </c>
      <c r="D150" s="1" t="s">
        <v>418</v>
      </c>
      <c r="E150" s="1">
        <f t="shared" ca="1" si="8"/>
        <v>57</v>
      </c>
      <c r="F150" s="1">
        <f t="shared" si="9"/>
        <v>35</v>
      </c>
      <c r="G150" s="1" t="s">
        <v>8</v>
      </c>
      <c r="H150" s="1" t="s">
        <v>12</v>
      </c>
      <c r="I150" s="1" t="s">
        <v>12</v>
      </c>
      <c r="J150" s="1">
        <v>1.74</v>
      </c>
      <c r="K150" s="1">
        <v>90</v>
      </c>
      <c r="M150" s="1">
        <v>0</v>
      </c>
      <c r="N150" s="1">
        <v>0</v>
      </c>
      <c r="O150" s="1">
        <v>0</v>
      </c>
      <c r="P150" s="1">
        <v>60</v>
      </c>
      <c r="Q150" s="1">
        <v>80</v>
      </c>
      <c r="R150" s="1">
        <v>31</v>
      </c>
      <c r="S150" s="1">
        <v>12</v>
      </c>
      <c r="T150" s="1">
        <v>76</v>
      </c>
      <c r="U150" s="1">
        <v>186</v>
      </c>
      <c r="V150" s="1">
        <v>43</v>
      </c>
      <c r="W150" s="1">
        <v>1178</v>
      </c>
      <c r="X150" s="1">
        <v>0</v>
      </c>
      <c r="Y150" s="1">
        <v>0</v>
      </c>
      <c r="Z150" s="1">
        <v>0</v>
      </c>
      <c r="AA150" s="1">
        <v>0</v>
      </c>
      <c r="AB150" s="184" t="s">
        <v>128</v>
      </c>
      <c r="AC150" s="184"/>
      <c r="AD150" s="184"/>
      <c r="AE150" s="184"/>
      <c r="AF150" s="184"/>
      <c r="AG150" s="166"/>
      <c r="AH150" s="1" t="s">
        <v>91</v>
      </c>
      <c r="AK150" s="167"/>
      <c r="AL150" s="1" t="s">
        <v>437</v>
      </c>
      <c r="AN150" s="1" t="s">
        <v>437</v>
      </c>
      <c r="AO150" s="1" t="s">
        <v>437</v>
      </c>
      <c r="AP150" s="1" t="s">
        <v>437</v>
      </c>
      <c r="AQ150" s="1" t="s">
        <v>437</v>
      </c>
      <c r="AR150" s="1" t="s">
        <v>437</v>
      </c>
      <c r="AS150" s="1" t="s">
        <v>437</v>
      </c>
      <c r="AT150" s="1" t="s">
        <v>437</v>
      </c>
      <c r="AU150" s="1" t="s">
        <v>437</v>
      </c>
      <c r="AV150" s="168">
        <v>37712</v>
      </c>
      <c r="AW150" s="1">
        <f t="shared" ca="1" si="10"/>
        <v>22</v>
      </c>
      <c r="AX150" s="1" t="s">
        <v>445</v>
      </c>
      <c r="AY150" s="1">
        <v>5.6</v>
      </c>
      <c r="BA150" s="184" t="s">
        <v>356</v>
      </c>
      <c r="BB150" s="1" t="s">
        <v>448</v>
      </c>
      <c r="BC150" s="1">
        <v>0</v>
      </c>
      <c r="BD150" s="1">
        <v>1</v>
      </c>
      <c r="BK150" s="167"/>
      <c r="BU150" s="167"/>
      <c r="CE150" s="167"/>
      <c r="CI150" s="15" t="s">
        <v>241</v>
      </c>
    </row>
    <row r="151" spans="1:87" ht="28.8" hidden="1">
      <c r="A151" s="4">
        <v>150</v>
      </c>
      <c r="B151" s="171">
        <v>32820</v>
      </c>
      <c r="C151" s="183" t="s">
        <v>220</v>
      </c>
      <c r="D151" s="1" t="s">
        <v>170</v>
      </c>
      <c r="E151" s="1">
        <f t="shared" ca="1" si="8"/>
        <v>35</v>
      </c>
      <c r="F151" s="1">
        <f t="shared" si="9"/>
        <v>32</v>
      </c>
      <c r="G151" s="1" t="s">
        <v>419</v>
      </c>
      <c r="H151" s="1" t="s">
        <v>12</v>
      </c>
      <c r="I151" s="1" t="s">
        <v>12</v>
      </c>
      <c r="J151" s="1">
        <v>1.77</v>
      </c>
      <c r="K151" s="1">
        <v>71</v>
      </c>
      <c r="M151" s="1">
        <v>0</v>
      </c>
      <c r="N151" s="1">
        <v>0</v>
      </c>
      <c r="O151" s="1">
        <v>0</v>
      </c>
      <c r="P151" s="1">
        <v>51</v>
      </c>
      <c r="Q151" s="1">
        <v>42</v>
      </c>
      <c r="R151" s="1">
        <v>18</v>
      </c>
      <c r="S151" s="1">
        <v>15</v>
      </c>
      <c r="T151" s="1">
        <v>61</v>
      </c>
      <c r="U151" s="1">
        <v>73</v>
      </c>
      <c r="V151" s="1">
        <v>46</v>
      </c>
      <c r="X151" s="1">
        <v>0</v>
      </c>
      <c r="Y151" s="1">
        <v>12</v>
      </c>
      <c r="Z151" s="1">
        <v>0</v>
      </c>
      <c r="AA151" s="1">
        <v>0</v>
      </c>
      <c r="AB151" s="184"/>
      <c r="AC151" s="184" t="s">
        <v>83</v>
      </c>
      <c r="AD151" s="184"/>
      <c r="AE151" s="184"/>
      <c r="AF151" s="184"/>
      <c r="AG151" s="166"/>
      <c r="AH151" s="1" t="s">
        <v>83</v>
      </c>
      <c r="AK151" s="167"/>
      <c r="AL151" s="1" t="s">
        <v>438</v>
      </c>
      <c r="AM151" s="1" t="s">
        <v>84</v>
      </c>
      <c r="AN151" s="1" t="s">
        <v>437</v>
      </c>
      <c r="AO151" s="1" t="s">
        <v>440</v>
      </c>
      <c r="AP151" s="1" t="s">
        <v>437</v>
      </c>
      <c r="AQ151" s="1" t="s">
        <v>437</v>
      </c>
      <c r="AR151" s="1" t="s">
        <v>437</v>
      </c>
      <c r="AS151" s="1" t="s">
        <v>437</v>
      </c>
      <c r="AT151" s="1" t="s">
        <v>437</v>
      </c>
      <c r="AU151" s="1" t="s">
        <v>437</v>
      </c>
      <c r="AV151" s="168">
        <v>44713</v>
      </c>
      <c r="AW151" s="1">
        <f t="shared" ca="1" si="10"/>
        <v>3</v>
      </c>
      <c r="AX151" s="1" t="s">
        <v>63</v>
      </c>
      <c r="AY151" s="1">
        <v>4.4000000000000004</v>
      </c>
      <c r="BA151" s="184" t="s">
        <v>356</v>
      </c>
      <c r="BB151" s="1" t="s">
        <v>448</v>
      </c>
      <c r="BC151" s="1" t="s">
        <v>481</v>
      </c>
      <c r="BD151" s="1">
        <v>1</v>
      </c>
      <c r="BE151" s="1">
        <v>1</v>
      </c>
      <c r="BK151" s="167" t="s">
        <v>465</v>
      </c>
      <c r="BL151" s="1" t="s">
        <v>446</v>
      </c>
      <c r="BM151" s="1" t="s">
        <v>480</v>
      </c>
      <c r="BN151" s="1" t="s">
        <v>483</v>
      </c>
      <c r="BU151" s="167"/>
      <c r="CE151" s="167"/>
      <c r="CI151" s="15" t="s">
        <v>242</v>
      </c>
    </row>
    <row r="152" spans="1:87" hidden="1">
      <c r="A152" s="4">
        <v>151</v>
      </c>
      <c r="B152" s="171">
        <v>33812</v>
      </c>
      <c r="C152" s="183" t="s">
        <v>220</v>
      </c>
      <c r="D152" s="1" t="s">
        <v>418</v>
      </c>
      <c r="E152" s="1">
        <f t="shared" ca="1" si="8"/>
        <v>32</v>
      </c>
      <c r="F152" s="1">
        <f t="shared" si="9"/>
        <v>30</v>
      </c>
      <c r="G152" s="1" t="s">
        <v>419</v>
      </c>
      <c r="H152" s="1" t="s">
        <v>13</v>
      </c>
      <c r="I152" s="1" t="s">
        <v>14</v>
      </c>
      <c r="J152" s="1">
        <v>1.6</v>
      </c>
      <c r="K152" s="1">
        <v>49</v>
      </c>
      <c r="M152" s="1">
        <v>0</v>
      </c>
      <c r="N152" s="1">
        <v>1</v>
      </c>
      <c r="O152" s="1">
        <v>0</v>
      </c>
      <c r="P152" s="1">
        <v>23</v>
      </c>
      <c r="Q152" s="1">
        <v>37</v>
      </c>
      <c r="R152" s="1">
        <v>33</v>
      </c>
      <c r="S152" s="1">
        <v>7</v>
      </c>
      <c r="T152" s="1">
        <v>79</v>
      </c>
      <c r="U152" s="1">
        <v>115</v>
      </c>
      <c r="V152" s="1">
        <v>42</v>
      </c>
      <c r="X152" s="1">
        <v>0</v>
      </c>
      <c r="Y152" s="1">
        <v>29</v>
      </c>
      <c r="Z152" s="1">
        <v>1</v>
      </c>
      <c r="AA152" s="1">
        <v>0</v>
      </c>
      <c r="AB152" s="184"/>
      <c r="AC152" s="184" t="s">
        <v>106</v>
      </c>
      <c r="AD152" s="184"/>
      <c r="AE152" s="184"/>
      <c r="AF152" s="184"/>
      <c r="AG152" s="166"/>
      <c r="AH152" s="1" t="s">
        <v>106</v>
      </c>
      <c r="AK152" s="167"/>
      <c r="AL152" s="1" t="s">
        <v>437</v>
      </c>
      <c r="AN152" s="1" t="s">
        <v>437</v>
      </c>
      <c r="AO152" s="1" t="s">
        <v>437</v>
      </c>
      <c r="AP152" s="1" t="s">
        <v>437</v>
      </c>
      <c r="AQ152" s="1" t="s">
        <v>437</v>
      </c>
      <c r="AR152" s="1" t="s">
        <v>437</v>
      </c>
      <c r="AS152" s="1" t="s">
        <v>437</v>
      </c>
      <c r="AT152" s="1" t="s">
        <v>437</v>
      </c>
      <c r="AU152" s="1" t="s">
        <v>437</v>
      </c>
      <c r="AV152" s="168">
        <v>44866</v>
      </c>
      <c r="AW152" s="1">
        <f t="shared" ca="1" si="10"/>
        <v>2</v>
      </c>
      <c r="AX152" s="1" t="s">
        <v>63</v>
      </c>
      <c r="AY152" s="1">
        <v>5.37</v>
      </c>
      <c r="BA152" s="184" t="s">
        <v>356</v>
      </c>
      <c r="BK152" s="167"/>
      <c r="BL152" s="1" t="s">
        <v>446</v>
      </c>
      <c r="BM152" s="1" t="s">
        <v>480</v>
      </c>
      <c r="BN152" s="1" t="s">
        <v>483</v>
      </c>
      <c r="BU152" s="167"/>
      <c r="CE152" s="167"/>
      <c r="CI152" s="15" t="s">
        <v>243</v>
      </c>
    </row>
    <row r="153" spans="1:87" hidden="1">
      <c r="A153" s="4">
        <v>152</v>
      </c>
      <c r="B153" s="171">
        <v>27510</v>
      </c>
      <c r="C153" s="183" t="s">
        <v>220</v>
      </c>
      <c r="D153" s="1" t="s">
        <v>170</v>
      </c>
      <c r="E153" s="1">
        <f t="shared" ca="1" si="8"/>
        <v>50</v>
      </c>
      <c r="F153" s="1">
        <f t="shared" si="9"/>
        <v>46</v>
      </c>
      <c r="G153" s="1" t="s">
        <v>8</v>
      </c>
      <c r="H153" s="1" t="s">
        <v>12</v>
      </c>
      <c r="I153" s="1" t="s">
        <v>12</v>
      </c>
      <c r="J153" s="1">
        <v>1.65</v>
      </c>
      <c r="K153" s="1">
        <v>80</v>
      </c>
      <c r="M153" s="1">
        <v>0</v>
      </c>
      <c r="N153" s="1">
        <v>1</v>
      </c>
      <c r="O153" s="1">
        <v>1</v>
      </c>
      <c r="P153" s="1">
        <v>22</v>
      </c>
      <c r="Q153" s="1">
        <v>7</v>
      </c>
      <c r="R153" s="1">
        <v>31</v>
      </c>
      <c r="S153" s="1">
        <v>12</v>
      </c>
      <c r="T153" s="1">
        <v>79</v>
      </c>
      <c r="U153" s="1">
        <v>365</v>
      </c>
      <c r="V153" s="1">
        <v>40</v>
      </c>
      <c r="W153" s="1">
        <v>3945</v>
      </c>
      <c r="X153" s="1">
        <v>0</v>
      </c>
      <c r="Y153" s="1">
        <v>0</v>
      </c>
      <c r="Z153" s="1">
        <v>0</v>
      </c>
      <c r="AA153" s="1">
        <v>0</v>
      </c>
      <c r="AB153" s="184"/>
      <c r="AC153" s="184" t="s">
        <v>91</v>
      </c>
      <c r="AD153" s="184"/>
      <c r="AE153" s="184"/>
      <c r="AF153" s="184"/>
      <c r="AG153" s="166"/>
      <c r="AH153" s="1" t="s">
        <v>91</v>
      </c>
      <c r="AK153" s="167"/>
      <c r="AL153" s="1" t="s">
        <v>437</v>
      </c>
      <c r="AN153" s="1" t="s">
        <v>437</v>
      </c>
      <c r="AO153" s="1" t="s">
        <v>437</v>
      </c>
      <c r="AP153" s="1" t="s">
        <v>437</v>
      </c>
      <c r="AQ153" s="1" t="s">
        <v>437</v>
      </c>
      <c r="AR153" s="1" t="s">
        <v>437</v>
      </c>
      <c r="AS153" s="1" t="s">
        <v>437</v>
      </c>
      <c r="AT153" s="1" t="s">
        <v>437</v>
      </c>
      <c r="AU153" s="1" t="s">
        <v>437</v>
      </c>
      <c r="AV153" s="168">
        <v>44440</v>
      </c>
      <c r="AW153" s="1">
        <f t="shared" ca="1" si="10"/>
        <v>3</v>
      </c>
      <c r="AX153" s="1" t="s">
        <v>445</v>
      </c>
      <c r="AY153" s="1">
        <v>0</v>
      </c>
      <c r="BA153" s="184" t="s">
        <v>34</v>
      </c>
      <c r="BB153" s="1" t="s">
        <v>34</v>
      </c>
      <c r="BK153" s="167"/>
      <c r="BU153" s="167"/>
      <c r="CE153" s="167"/>
      <c r="CI153" s="15" t="s">
        <v>244</v>
      </c>
    </row>
    <row r="154" spans="1:87" hidden="1">
      <c r="A154" s="4">
        <v>153</v>
      </c>
      <c r="B154" s="195">
        <v>21672</v>
      </c>
      <c r="C154" s="183" t="s">
        <v>220</v>
      </c>
      <c r="D154" s="170" t="s">
        <v>418</v>
      </c>
      <c r="E154" s="1">
        <f t="shared" ca="1" si="8"/>
        <v>66</v>
      </c>
      <c r="F154" s="1">
        <f t="shared" si="9"/>
        <v>47</v>
      </c>
      <c r="G154" s="1" t="s">
        <v>5</v>
      </c>
      <c r="H154" s="1" t="s">
        <v>12</v>
      </c>
      <c r="I154" s="1" t="s">
        <v>12</v>
      </c>
      <c r="J154" s="1">
        <v>1.7</v>
      </c>
      <c r="K154" s="1">
        <v>68</v>
      </c>
      <c r="M154" s="1">
        <v>0</v>
      </c>
      <c r="N154" s="1">
        <v>1</v>
      </c>
      <c r="O154" s="1">
        <v>0</v>
      </c>
      <c r="X154" s="1">
        <v>0</v>
      </c>
      <c r="Z154" s="1">
        <v>1</v>
      </c>
      <c r="AA154" s="1">
        <v>1</v>
      </c>
      <c r="AB154" s="166" t="s">
        <v>83</v>
      </c>
      <c r="AF154" s="167"/>
      <c r="AG154" s="166"/>
      <c r="AH154" s="1" t="s">
        <v>128</v>
      </c>
      <c r="AK154" s="167"/>
      <c r="AL154" s="1" t="s">
        <v>438</v>
      </c>
      <c r="AM154" s="1" t="s">
        <v>84</v>
      </c>
      <c r="AN154" s="1" t="s">
        <v>437</v>
      </c>
      <c r="AO154" s="1" t="s">
        <v>437</v>
      </c>
      <c r="AP154" s="1" t="s">
        <v>437</v>
      </c>
      <c r="AQ154" s="1" t="s">
        <v>437</v>
      </c>
      <c r="AR154" s="1" t="s">
        <v>438</v>
      </c>
      <c r="AS154" s="1" t="s">
        <v>437</v>
      </c>
      <c r="AT154" s="1" t="s">
        <v>440</v>
      </c>
      <c r="AU154" s="1" t="s">
        <v>437</v>
      </c>
      <c r="AV154" s="168">
        <v>39083</v>
      </c>
      <c r="AW154" s="1">
        <f t="shared" ca="1" si="10"/>
        <v>18</v>
      </c>
      <c r="AX154" s="1" t="s">
        <v>31</v>
      </c>
      <c r="AY154" s="1">
        <v>0</v>
      </c>
      <c r="BA154" s="184" t="s">
        <v>356</v>
      </c>
      <c r="BB154" s="1" t="s">
        <v>34</v>
      </c>
      <c r="BK154" s="167"/>
      <c r="BU154" s="167"/>
      <c r="CE154" s="167"/>
      <c r="CI154" s="15" t="s">
        <v>245</v>
      </c>
    </row>
    <row r="155" spans="1:87" hidden="1">
      <c r="A155" s="4">
        <v>154</v>
      </c>
      <c r="B155" s="195">
        <v>34141</v>
      </c>
      <c r="C155" s="183" t="s">
        <v>220</v>
      </c>
      <c r="D155" s="170" t="s">
        <v>170</v>
      </c>
      <c r="E155" s="1">
        <f t="shared" ca="1" si="8"/>
        <v>32</v>
      </c>
      <c r="F155" s="1">
        <f t="shared" si="9"/>
        <v>29</v>
      </c>
      <c r="G155" s="1" t="s">
        <v>8</v>
      </c>
      <c r="H155" s="1" t="s">
        <v>12</v>
      </c>
      <c r="I155" s="1" t="s">
        <v>12</v>
      </c>
      <c r="J155" s="1">
        <v>1.68</v>
      </c>
      <c r="K155" s="1">
        <v>60</v>
      </c>
      <c r="M155" s="1">
        <v>0</v>
      </c>
      <c r="N155" s="1">
        <v>0</v>
      </c>
      <c r="O155" s="1">
        <v>0</v>
      </c>
      <c r="P155" s="1">
        <v>28</v>
      </c>
      <c r="Q155" s="1">
        <v>41</v>
      </c>
      <c r="R155" s="1">
        <v>27</v>
      </c>
      <c r="S155" s="1">
        <v>8</v>
      </c>
      <c r="T155" s="1">
        <v>197</v>
      </c>
      <c r="U155" s="1">
        <v>100</v>
      </c>
      <c r="V155" s="1">
        <v>38</v>
      </c>
      <c r="W155" s="1">
        <v>13000</v>
      </c>
      <c r="X155" s="1">
        <v>0</v>
      </c>
      <c r="Y155" s="1">
        <v>85</v>
      </c>
      <c r="Z155" s="1">
        <v>0</v>
      </c>
      <c r="AA155" s="1">
        <v>0</v>
      </c>
      <c r="AB155" s="166"/>
      <c r="AC155" s="1" t="s">
        <v>110</v>
      </c>
      <c r="AF155" s="167"/>
      <c r="AG155" s="166"/>
      <c r="AH155" s="1" t="s">
        <v>110</v>
      </c>
      <c r="AK155" s="167"/>
      <c r="AL155" s="1" t="s">
        <v>437</v>
      </c>
      <c r="AN155" s="1" t="s">
        <v>437</v>
      </c>
      <c r="AO155" s="1" t="s">
        <v>437</v>
      </c>
      <c r="AP155" s="1" t="s">
        <v>437</v>
      </c>
      <c r="AQ155" s="1" t="s">
        <v>437</v>
      </c>
      <c r="AR155" s="1" t="s">
        <v>437</v>
      </c>
      <c r="AS155" s="1" t="s">
        <v>437</v>
      </c>
      <c r="AT155" s="1" t="s">
        <v>437</v>
      </c>
      <c r="AU155" s="1" t="s">
        <v>437</v>
      </c>
      <c r="AV155" s="168">
        <v>45078</v>
      </c>
      <c r="AW155" s="1">
        <f t="shared" ca="1" si="10"/>
        <v>2</v>
      </c>
      <c r="AX155" s="1" t="s">
        <v>445</v>
      </c>
      <c r="AY155" s="1">
        <v>85</v>
      </c>
      <c r="BA155" s="184" t="s">
        <v>356</v>
      </c>
      <c r="BB155" s="1" t="s">
        <v>34</v>
      </c>
      <c r="BK155" s="167"/>
      <c r="BU155" s="167"/>
      <c r="CE155" s="167"/>
      <c r="CI155" s="15" t="s">
        <v>244</v>
      </c>
    </row>
    <row r="156" spans="1:87" hidden="1">
      <c r="A156" s="4">
        <v>155</v>
      </c>
      <c r="B156" s="195">
        <v>27512</v>
      </c>
      <c r="C156" s="183" t="s">
        <v>220</v>
      </c>
      <c r="D156" s="170" t="s">
        <v>418</v>
      </c>
      <c r="E156" s="1">
        <f t="shared" ca="1" si="8"/>
        <v>50</v>
      </c>
      <c r="F156" s="1">
        <f t="shared" si="9"/>
        <v>49</v>
      </c>
      <c r="G156" s="1" t="s">
        <v>11</v>
      </c>
      <c r="H156" s="1" t="s">
        <v>14</v>
      </c>
      <c r="I156" s="1" t="s">
        <v>14</v>
      </c>
      <c r="J156" s="1">
        <v>1.92</v>
      </c>
      <c r="K156" s="1">
        <v>82</v>
      </c>
      <c r="M156" s="1">
        <v>0</v>
      </c>
      <c r="N156" s="1">
        <v>0</v>
      </c>
      <c r="O156" s="1">
        <v>0</v>
      </c>
      <c r="P156" s="1">
        <v>20</v>
      </c>
      <c r="Q156" s="1">
        <v>17</v>
      </c>
      <c r="R156" s="1">
        <v>18</v>
      </c>
      <c r="S156" s="1">
        <v>3</v>
      </c>
      <c r="T156" s="1">
        <v>98</v>
      </c>
      <c r="U156" s="1">
        <v>213</v>
      </c>
      <c r="V156" s="1">
        <v>35</v>
      </c>
      <c r="X156" s="1">
        <v>0</v>
      </c>
      <c r="Y156" s="1">
        <v>47</v>
      </c>
      <c r="Z156" s="1">
        <v>0</v>
      </c>
      <c r="AA156" s="1">
        <v>0</v>
      </c>
      <c r="AB156" s="166"/>
      <c r="AC156" s="1" t="s">
        <v>91</v>
      </c>
      <c r="AF156" s="167"/>
      <c r="AG156" s="166"/>
      <c r="AH156" s="1" t="s">
        <v>91</v>
      </c>
      <c r="AK156" s="167"/>
      <c r="AL156" s="1" t="s">
        <v>437</v>
      </c>
      <c r="AN156" s="1" t="s">
        <v>437</v>
      </c>
      <c r="AO156" s="1" t="s">
        <v>437</v>
      </c>
      <c r="AP156" s="1" t="s">
        <v>437</v>
      </c>
      <c r="AQ156" s="1" t="s">
        <v>437</v>
      </c>
      <c r="AR156" s="1" t="s">
        <v>437</v>
      </c>
      <c r="AS156" s="1" t="s">
        <v>437</v>
      </c>
      <c r="AT156" s="1" t="s">
        <v>437</v>
      </c>
      <c r="AU156" s="1" t="s">
        <v>437</v>
      </c>
      <c r="AV156" s="168">
        <v>45474</v>
      </c>
      <c r="AW156" s="1">
        <f t="shared" ca="1" si="10"/>
        <v>1</v>
      </c>
      <c r="AX156" s="1" t="s">
        <v>444</v>
      </c>
      <c r="AY156" s="1">
        <v>0</v>
      </c>
      <c r="BA156" s="184" t="s">
        <v>34</v>
      </c>
      <c r="BB156" s="1" t="s">
        <v>34</v>
      </c>
      <c r="BK156" s="167"/>
      <c r="BU156" s="167"/>
      <c r="CE156" s="167"/>
      <c r="CI156" s="15" t="s">
        <v>244</v>
      </c>
    </row>
    <row r="157" spans="1:87" hidden="1">
      <c r="A157" s="4">
        <v>156</v>
      </c>
      <c r="B157" s="195">
        <v>32309</v>
      </c>
      <c r="C157" s="183" t="s">
        <v>220</v>
      </c>
      <c r="D157" s="170" t="s">
        <v>418</v>
      </c>
      <c r="E157" s="1">
        <f t="shared" ca="1" si="8"/>
        <v>37</v>
      </c>
      <c r="F157" s="1">
        <f t="shared" si="9"/>
        <v>35</v>
      </c>
      <c r="G157" s="1" t="s">
        <v>419</v>
      </c>
      <c r="H157" s="1" t="s">
        <v>14</v>
      </c>
      <c r="I157" s="1" t="s">
        <v>14</v>
      </c>
      <c r="J157" s="1">
        <v>1.78</v>
      </c>
      <c r="K157" s="1">
        <v>66</v>
      </c>
      <c r="M157" s="1">
        <v>0</v>
      </c>
      <c r="N157" s="1">
        <v>0</v>
      </c>
      <c r="O157" s="1">
        <v>0</v>
      </c>
      <c r="P157" s="1">
        <v>165</v>
      </c>
      <c r="Q157" s="1">
        <v>300</v>
      </c>
      <c r="R157" s="1">
        <v>230</v>
      </c>
      <c r="S157" s="1">
        <v>12</v>
      </c>
      <c r="T157" s="1">
        <v>81</v>
      </c>
      <c r="U157" s="1">
        <v>159</v>
      </c>
      <c r="V157" s="1">
        <v>34</v>
      </c>
      <c r="W157" s="1">
        <v>5097</v>
      </c>
      <c r="X157" s="1">
        <v>0</v>
      </c>
      <c r="Y157" s="1">
        <v>49</v>
      </c>
      <c r="Z157" s="1">
        <v>0</v>
      </c>
      <c r="AA157" s="1">
        <v>0</v>
      </c>
      <c r="AB157" s="166"/>
      <c r="AC157" s="1" t="s">
        <v>110</v>
      </c>
      <c r="AF157" s="167"/>
      <c r="AG157" s="166"/>
      <c r="AH157" s="1" t="s">
        <v>110</v>
      </c>
      <c r="AK157" s="167"/>
      <c r="AL157" s="1" t="s">
        <v>437</v>
      </c>
      <c r="AN157" s="1" t="s">
        <v>437</v>
      </c>
      <c r="AO157" s="1" t="s">
        <v>437</v>
      </c>
      <c r="AP157" s="1" t="s">
        <v>437</v>
      </c>
      <c r="AQ157" s="1" t="s">
        <v>437</v>
      </c>
      <c r="AR157" s="1" t="s">
        <v>437</v>
      </c>
      <c r="AS157" s="1" t="s">
        <v>437</v>
      </c>
      <c r="AT157" s="1" t="s">
        <v>437</v>
      </c>
      <c r="AU157" s="1" t="s">
        <v>437</v>
      </c>
      <c r="AV157" s="168">
        <v>45383</v>
      </c>
      <c r="AW157" s="1">
        <f t="shared" ca="1" si="10"/>
        <v>1</v>
      </c>
      <c r="AX157" s="1" t="s">
        <v>444</v>
      </c>
      <c r="AY157" s="1">
        <v>5.59</v>
      </c>
      <c r="BA157" s="184" t="s">
        <v>356</v>
      </c>
      <c r="BB157" s="1" t="s">
        <v>448</v>
      </c>
      <c r="BK157" s="167"/>
      <c r="BU157" s="167"/>
      <c r="CE157" s="167"/>
      <c r="CI157" s="15" t="s">
        <v>246</v>
      </c>
    </row>
    <row r="158" spans="1:87" hidden="1">
      <c r="A158" s="4">
        <v>157</v>
      </c>
      <c r="B158" s="171">
        <v>30541</v>
      </c>
      <c r="C158" s="188" t="s">
        <v>247</v>
      </c>
      <c r="D158" s="1" t="s">
        <v>418</v>
      </c>
      <c r="E158" s="1">
        <f t="shared" ca="1" si="8"/>
        <v>41</v>
      </c>
      <c r="F158" s="1">
        <f t="shared" si="9"/>
        <v>34</v>
      </c>
      <c r="G158" s="1" t="s">
        <v>419</v>
      </c>
      <c r="AL158" s="1" t="s">
        <v>69</v>
      </c>
      <c r="AV158" s="168">
        <v>43285</v>
      </c>
      <c r="AW158" s="1">
        <f t="shared" ca="1" si="10"/>
        <v>7</v>
      </c>
      <c r="AX158" s="1" t="s">
        <v>484</v>
      </c>
      <c r="BA158" s="184"/>
      <c r="BB158" s="1" t="s">
        <v>34</v>
      </c>
      <c r="CF158" s="1" t="s">
        <v>486</v>
      </c>
      <c r="CG158" s="1">
        <v>1</v>
      </c>
      <c r="CI158" s="15" t="s">
        <v>248</v>
      </c>
    </row>
    <row r="159" spans="1:87" hidden="1">
      <c r="A159" s="4">
        <v>158</v>
      </c>
      <c r="B159" s="171">
        <v>28490</v>
      </c>
      <c r="C159" s="188" t="s">
        <v>247</v>
      </c>
      <c r="D159" s="1" t="s">
        <v>418</v>
      </c>
      <c r="E159" s="1">
        <f t="shared" ca="1" si="8"/>
        <v>47</v>
      </c>
      <c r="F159" s="1">
        <f t="shared" si="9"/>
        <v>41</v>
      </c>
      <c r="G159" s="1" t="s">
        <v>8</v>
      </c>
      <c r="H159" s="1" t="s">
        <v>12</v>
      </c>
      <c r="I159" s="1" t="s">
        <v>12</v>
      </c>
      <c r="J159" s="1">
        <v>177</v>
      </c>
      <c r="K159" s="1">
        <v>54</v>
      </c>
      <c r="M159" s="1">
        <v>0</v>
      </c>
      <c r="N159" s="1">
        <v>0</v>
      </c>
      <c r="O159" s="1">
        <v>0</v>
      </c>
      <c r="P159" s="1">
        <v>51</v>
      </c>
      <c r="Q159" s="1">
        <v>46</v>
      </c>
      <c r="R159" s="1">
        <v>74</v>
      </c>
      <c r="S159" s="1">
        <v>7</v>
      </c>
      <c r="T159" s="1">
        <v>78</v>
      </c>
      <c r="U159" s="1">
        <v>290</v>
      </c>
      <c r="V159" s="1">
        <v>41</v>
      </c>
      <c r="W159" s="1">
        <v>3577</v>
      </c>
      <c r="X159" s="1">
        <v>1</v>
      </c>
      <c r="Y159" s="1">
        <v>2738</v>
      </c>
      <c r="Z159" s="1">
        <v>0</v>
      </c>
      <c r="AA159" s="1">
        <v>0</v>
      </c>
      <c r="AB159" s="166"/>
      <c r="AC159" s="1" t="s">
        <v>83</v>
      </c>
      <c r="AF159" s="167"/>
      <c r="AG159" s="166"/>
      <c r="AK159" s="167"/>
      <c r="AL159" s="1" t="s">
        <v>438</v>
      </c>
      <c r="AM159" s="1" t="s">
        <v>84</v>
      </c>
      <c r="AN159" s="1" t="s">
        <v>437</v>
      </c>
      <c r="AO159" s="1" t="s">
        <v>437</v>
      </c>
      <c r="AP159" s="1" t="s">
        <v>437</v>
      </c>
      <c r="AQ159" s="1" t="s">
        <v>437</v>
      </c>
      <c r="AR159" s="1" t="s">
        <v>437</v>
      </c>
      <c r="AS159" s="1" t="s">
        <v>437</v>
      </c>
      <c r="AT159" s="1" t="s">
        <v>437</v>
      </c>
      <c r="AU159" s="1" t="s">
        <v>437</v>
      </c>
      <c r="AV159" s="168">
        <v>43508</v>
      </c>
      <c r="AW159" s="1">
        <f t="shared" ca="1" si="10"/>
        <v>6</v>
      </c>
      <c r="AX159" s="1" t="s">
        <v>445</v>
      </c>
      <c r="AY159" s="1">
        <v>5.9</v>
      </c>
      <c r="BA159" s="184" t="s">
        <v>356</v>
      </c>
      <c r="BB159" s="1" t="s">
        <v>446</v>
      </c>
      <c r="BC159" s="1" t="s">
        <v>481</v>
      </c>
      <c r="BD159" s="1">
        <v>1</v>
      </c>
      <c r="BK159" s="167"/>
      <c r="BL159" s="1" t="s">
        <v>472</v>
      </c>
      <c r="BM159" s="1" t="s">
        <v>480</v>
      </c>
      <c r="BN159" s="1" t="s">
        <v>482</v>
      </c>
      <c r="BO159" s="1">
        <v>1</v>
      </c>
      <c r="BT159" s="1">
        <v>1</v>
      </c>
      <c r="BU159" s="167">
        <v>3</v>
      </c>
      <c r="BV159" s="1" t="s">
        <v>446</v>
      </c>
      <c r="BW159" s="1" t="s">
        <v>481</v>
      </c>
      <c r="BX159" s="1" t="s">
        <v>483</v>
      </c>
      <c r="BY159" s="1">
        <v>0</v>
      </c>
      <c r="CE159" s="167"/>
      <c r="CI159" s="15" t="s">
        <v>249</v>
      </c>
    </row>
    <row r="160" spans="1:87" hidden="1">
      <c r="A160" s="4">
        <v>159</v>
      </c>
      <c r="B160" s="171">
        <v>26547</v>
      </c>
      <c r="C160" s="188" t="s">
        <v>247</v>
      </c>
      <c r="D160" s="1" t="s">
        <v>170</v>
      </c>
      <c r="E160" s="1">
        <f t="shared" ca="1" si="8"/>
        <v>52</v>
      </c>
      <c r="F160" s="1">
        <f t="shared" si="9"/>
        <v>46</v>
      </c>
      <c r="G160" s="1" t="s">
        <v>8</v>
      </c>
      <c r="H160" s="1" t="s">
        <v>12</v>
      </c>
      <c r="I160" s="1" t="s">
        <v>12</v>
      </c>
      <c r="J160" s="1">
        <v>175</v>
      </c>
      <c r="K160" s="1">
        <v>90</v>
      </c>
      <c r="M160" s="1">
        <v>0</v>
      </c>
      <c r="N160" s="1">
        <v>0</v>
      </c>
      <c r="O160" s="1">
        <v>0</v>
      </c>
      <c r="P160" s="1">
        <v>37</v>
      </c>
      <c r="Q160" s="1">
        <v>29</v>
      </c>
      <c r="R160" s="1">
        <v>29</v>
      </c>
      <c r="S160" s="1">
        <v>7</v>
      </c>
      <c r="U160" s="1">
        <v>209</v>
      </c>
      <c r="AA160" s="1">
        <v>1</v>
      </c>
      <c r="AB160" s="166"/>
      <c r="AF160" s="167"/>
      <c r="AG160" s="166"/>
      <c r="AK160" s="167"/>
      <c r="AL160" s="1" t="s">
        <v>437</v>
      </c>
      <c r="AV160" s="168">
        <v>43550</v>
      </c>
      <c r="AW160" s="1">
        <f t="shared" ca="1" si="10"/>
        <v>6</v>
      </c>
      <c r="AX160" s="1" t="s">
        <v>445</v>
      </c>
      <c r="BA160" s="184" t="s">
        <v>356</v>
      </c>
      <c r="BB160" s="1" t="s">
        <v>34</v>
      </c>
      <c r="BK160" s="167"/>
      <c r="BU160" s="167"/>
      <c r="CE160" s="167"/>
      <c r="CI160" s="15" t="s">
        <v>250</v>
      </c>
    </row>
    <row r="161" spans="1:87" hidden="1">
      <c r="A161" s="4">
        <v>160</v>
      </c>
      <c r="B161" s="171">
        <v>30312</v>
      </c>
      <c r="C161" s="188" t="s">
        <v>247</v>
      </c>
      <c r="D161" s="1" t="s">
        <v>418</v>
      </c>
      <c r="E161" s="1">
        <f t="shared" ca="1" si="8"/>
        <v>42</v>
      </c>
      <c r="F161" s="1">
        <f t="shared" si="9"/>
        <v>37</v>
      </c>
      <c r="G161" s="1" t="s">
        <v>419</v>
      </c>
      <c r="H161" s="1" t="s">
        <v>14</v>
      </c>
      <c r="I161" s="1" t="s">
        <v>14</v>
      </c>
      <c r="J161" s="1">
        <v>165</v>
      </c>
      <c r="K161" s="1">
        <v>71</v>
      </c>
      <c r="M161" s="1">
        <v>0</v>
      </c>
      <c r="N161" s="1">
        <v>0</v>
      </c>
      <c r="O161" s="1">
        <v>0</v>
      </c>
      <c r="P161" s="1">
        <v>21</v>
      </c>
      <c r="Q161" s="1">
        <v>16</v>
      </c>
      <c r="R161" s="1">
        <v>18</v>
      </c>
      <c r="S161" s="1">
        <v>7</v>
      </c>
      <c r="U161" s="1">
        <v>230</v>
      </c>
      <c r="V161" s="1">
        <v>45.9</v>
      </c>
      <c r="W161" s="1">
        <v>1089</v>
      </c>
      <c r="X161" s="1">
        <v>1</v>
      </c>
      <c r="Y161" s="1">
        <v>700</v>
      </c>
      <c r="Z161" s="1">
        <v>0</v>
      </c>
      <c r="AA161" s="1">
        <v>0</v>
      </c>
      <c r="AB161" s="166"/>
      <c r="AC161" s="1" t="s">
        <v>110</v>
      </c>
      <c r="AF161" s="167"/>
      <c r="AG161" s="166"/>
      <c r="AH161" s="1" t="s">
        <v>110</v>
      </c>
      <c r="AK161" s="167"/>
      <c r="AL161" s="1" t="s">
        <v>437</v>
      </c>
      <c r="AN161" s="1" t="s">
        <v>437</v>
      </c>
      <c r="AO161" s="1" t="s">
        <v>437</v>
      </c>
      <c r="AP161" s="1" t="s">
        <v>437</v>
      </c>
      <c r="AQ161" s="1" t="s">
        <v>437</v>
      </c>
      <c r="AR161" s="1" t="s">
        <v>437</v>
      </c>
      <c r="AS161" s="1" t="s">
        <v>437</v>
      </c>
      <c r="AT161" s="1" t="s">
        <v>437</v>
      </c>
      <c r="AU161" s="1" t="s">
        <v>437</v>
      </c>
      <c r="AV161" s="168">
        <v>44181</v>
      </c>
      <c r="AW161" s="1">
        <f t="shared" ca="1" si="10"/>
        <v>4</v>
      </c>
      <c r="AX161" s="1" t="s">
        <v>445</v>
      </c>
      <c r="AY161" s="1">
        <v>7.06</v>
      </c>
      <c r="BA161" s="184" t="s">
        <v>356</v>
      </c>
      <c r="BB161" s="1" t="s">
        <v>448</v>
      </c>
      <c r="BC161" s="1">
        <v>0</v>
      </c>
      <c r="BD161" s="1">
        <v>1</v>
      </c>
      <c r="BK161" s="167"/>
      <c r="BL161" s="1" t="s">
        <v>446</v>
      </c>
      <c r="BM161" s="1" t="s">
        <v>480</v>
      </c>
      <c r="BU161" s="167"/>
      <c r="CE161" s="167"/>
    </row>
    <row r="162" spans="1:87" hidden="1">
      <c r="A162" s="4">
        <v>161</v>
      </c>
      <c r="B162" s="171">
        <v>20094</v>
      </c>
      <c r="C162" s="188" t="s">
        <v>247</v>
      </c>
      <c r="D162" s="1" t="s">
        <v>418</v>
      </c>
      <c r="E162" s="1">
        <f t="shared" ca="1" si="8"/>
        <v>70</v>
      </c>
      <c r="F162" s="1">
        <f t="shared" ref="F162:F193" si="11">DATEDIF(B162,AV162,"Y")</f>
        <v>63</v>
      </c>
      <c r="G162" s="1" t="s">
        <v>5</v>
      </c>
      <c r="P162" s="1">
        <v>30</v>
      </c>
      <c r="Q162" s="1">
        <v>45</v>
      </c>
      <c r="R162" s="1">
        <v>40</v>
      </c>
      <c r="S162" s="1">
        <v>18</v>
      </c>
      <c r="T162" s="1">
        <v>96</v>
      </c>
      <c r="U162" s="1">
        <v>263</v>
      </c>
      <c r="W162" s="1">
        <v>332</v>
      </c>
      <c r="Z162" s="1">
        <v>0</v>
      </c>
      <c r="AA162" s="1">
        <v>0</v>
      </c>
      <c r="AL162" s="1" t="s">
        <v>437</v>
      </c>
      <c r="AV162" s="168">
        <v>43130</v>
      </c>
      <c r="AW162" s="1">
        <f t="shared" ca="1" si="10"/>
        <v>7</v>
      </c>
      <c r="AX162" s="1" t="s">
        <v>63</v>
      </c>
      <c r="BA162" s="184"/>
      <c r="BB162" s="1" t="s">
        <v>34</v>
      </c>
      <c r="CG162" s="1">
        <v>1</v>
      </c>
      <c r="CI162" s="15" t="s">
        <v>251</v>
      </c>
    </row>
    <row r="163" spans="1:87" hidden="1">
      <c r="A163" s="4">
        <v>162</v>
      </c>
      <c r="B163" s="171">
        <v>25051</v>
      </c>
      <c r="C163" s="188" t="s">
        <v>247</v>
      </c>
      <c r="D163" s="1" t="s">
        <v>170</v>
      </c>
      <c r="E163" s="1">
        <f t="shared" ca="1" si="8"/>
        <v>56</v>
      </c>
      <c r="F163" s="1">
        <f t="shared" si="11"/>
        <v>50</v>
      </c>
      <c r="G163" s="1" t="s">
        <v>11</v>
      </c>
      <c r="H163" s="1" t="s">
        <v>12</v>
      </c>
      <c r="I163" s="1" t="s">
        <v>14</v>
      </c>
      <c r="J163" s="1">
        <v>179</v>
      </c>
      <c r="K163" s="1">
        <v>75</v>
      </c>
      <c r="M163" s="1">
        <v>1</v>
      </c>
      <c r="N163" s="1">
        <v>0</v>
      </c>
      <c r="O163" s="1">
        <v>0</v>
      </c>
      <c r="AB163" s="166"/>
      <c r="AF163" s="167"/>
      <c r="AG163" s="166"/>
      <c r="AK163" s="167"/>
      <c r="AV163" s="168">
        <v>43452</v>
      </c>
      <c r="AW163" s="1">
        <f t="shared" ca="1" si="10"/>
        <v>6</v>
      </c>
      <c r="AX163" s="1" t="s">
        <v>63</v>
      </c>
      <c r="BA163" s="184"/>
      <c r="BB163" s="1" t="s">
        <v>34</v>
      </c>
      <c r="BK163" s="167"/>
      <c r="BU163" s="167"/>
      <c r="CE163" s="167"/>
      <c r="CI163" s="15" t="s">
        <v>252</v>
      </c>
    </row>
    <row r="164" spans="1:87" hidden="1">
      <c r="A164" s="4">
        <v>163</v>
      </c>
      <c r="B164" s="171">
        <v>26839</v>
      </c>
      <c r="C164" s="188" t="s">
        <v>247</v>
      </c>
      <c r="D164" s="1" t="s">
        <v>418</v>
      </c>
      <c r="E164" s="1">
        <f t="shared" ca="1" si="8"/>
        <v>52</v>
      </c>
      <c r="F164" s="1">
        <f t="shared" si="11"/>
        <v>44</v>
      </c>
      <c r="G164" s="1" t="s">
        <v>8</v>
      </c>
      <c r="J164" s="1">
        <v>170</v>
      </c>
      <c r="K164" s="1">
        <v>67</v>
      </c>
      <c r="M164" s="1">
        <v>0</v>
      </c>
      <c r="N164" s="1">
        <v>0</v>
      </c>
      <c r="O164" s="1">
        <v>0</v>
      </c>
      <c r="P164" s="1">
        <v>105</v>
      </c>
      <c r="Q164" s="1">
        <v>152</v>
      </c>
      <c r="R164" s="1">
        <v>67</v>
      </c>
      <c r="S164" s="1">
        <v>9</v>
      </c>
      <c r="T164" s="1">
        <v>77</v>
      </c>
      <c r="U164" s="1">
        <v>182</v>
      </c>
      <c r="V164" s="1">
        <v>38.1</v>
      </c>
      <c r="W164" s="1">
        <v>5948</v>
      </c>
      <c r="X164" s="1">
        <v>0</v>
      </c>
      <c r="Y164" s="1">
        <v>53</v>
      </c>
      <c r="Z164" s="1">
        <v>0</v>
      </c>
      <c r="AA164" s="1">
        <v>0</v>
      </c>
      <c r="AB164" s="166"/>
      <c r="AC164" s="1" t="s">
        <v>128</v>
      </c>
      <c r="AF164" s="167"/>
      <c r="AG164" s="166"/>
      <c r="AH164" s="1" t="s">
        <v>128</v>
      </c>
      <c r="AK164" s="167"/>
      <c r="AL164" s="1" t="s">
        <v>437</v>
      </c>
      <c r="AN164" s="1" t="s">
        <v>437</v>
      </c>
      <c r="AO164" s="1" t="s">
        <v>437</v>
      </c>
      <c r="AP164" s="1" t="s">
        <v>437</v>
      </c>
      <c r="AQ164" s="1" t="s">
        <v>437</v>
      </c>
      <c r="AR164" s="1" t="s">
        <v>437</v>
      </c>
      <c r="AS164" s="1" t="s">
        <v>437</v>
      </c>
      <c r="AT164" s="1" t="s">
        <v>437</v>
      </c>
      <c r="AU164" s="1" t="s">
        <v>437</v>
      </c>
      <c r="AV164" s="168">
        <v>43066</v>
      </c>
      <c r="AW164" s="1">
        <f t="shared" ca="1" si="10"/>
        <v>7</v>
      </c>
      <c r="AX164" s="1" t="s">
        <v>445</v>
      </c>
      <c r="AY164" s="1">
        <v>6.48</v>
      </c>
      <c r="BA164" s="184" t="s">
        <v>356</v>
      </c>
      <c r="BB164" s="1" t="s">
        <v>448</v>
      </c>
      <c r="BD164" s="1">
        <v>1</v>
      </c>
      <c r="BE164" s="1">
        <v>1</v>
      </c>
      <c r="BK164" s="167" t="s">
        <v>467</v>
      </c>
      <c r="BU164" s="167"/>
      <c r="CE164" s="167"/>
    </row>
    <row r="165" spans="1:87" ht="57.6" hidden="1">
      <c r="A165" s="4">
        <v>164</v>
      </c>
      <c r="B165" s="171">
        <v>24160</v>
      </c>
      <c r="C165" s="188" t="s">
        <v>247</v>
      </c>
      <c r="D165" s="1" t="s">
        <v>418</v>
      </c>
      <c r="E165" s="1">
        <f t="shared" ca="1" si="8"/>
        <v>59</v>
      </c>
      <c r="F165" s="1">
        <f t="shared" si="11"/>
        <v>35</v>
      </c>
      <c r="G165" s="1" t="s">
        <v>5</v>
      </c>
      <c r="H165" s="1" t="s">
        <v>14</v>
      </c>
      <c r="J165" s="1">
        <v>175</v>
      </c>
      <c r="K165" s="1">
        <v>65</v>
      </c>
      <c r="M165" s="1">
        <v>0</v>
      </c>
      <c r="N165" s="1">
        <v>1</v>
      </c>
      <c r="O165" s="1">
        <v>0</v>
      </c>
      <c r="P165" s="1">
        <v>115</v>
      </c>
      <c r="Q165" s="1">
        <v>213</v>
      </c>
      <c r="R165" s="1">
        <v>37</v>
      </c>
      <c r="S165" s="1">
        <v>16</v>
      </c>
      <c r="Y165" s="1">
        <v>28</v>
      </c>
      <c r="Z165" s="1">
        <v>0</v>
      </c>
      <c r="AA165" s="1">
        <v>1</v>
      </c>
      <c r="AB165" s="166" t="s">
        <v>128</v>
      </c>
      <c r="AF165" s="167"/>
      <c r="AG165" s="166"/>
      <c r="AH165" s="1" t="s">
        <v>110</v>
      </c>
      <c r="AK165" s="167"/>
      <c r="AL165" s="1" t="s">
        <v>437</v>
      </c>
      <c r="AN165" s="1" t="s">
        <v>437</v>
      </c>
      <c r="AO165" s="1" t="s">
        <v>437</v>
      </c>
      <c r="AP165" s="1" t="s">
        <v>437</v>
      </c>
      <c r="AQ165" s="1" t="s">
        <v>437</v>
      </c>
      <c r="AR165" s="1" t="s">
        <v>437</v>
      </c>
      <c r="AS165" s="1" t="s">
        <v>437</v>
      </c>
      <c r="AT165" s="1" t="s">
        <v>437</v>
      </c>
      <c r="AU165" s="1" t="s">
        <v>437</v>
      </c>
      <c r="AV165" s="168">
        <v>36965</v>
      </c>
      <c r="AW165" s="1">
        <f t="shared" ca="1" si="10"/>
        <v>24</v>
      </c>
      <c r="AX165" s="1" t="s">
        <v>444</v>
      </c>
      <c r="AY165" s="1">
        <v>6.5</v>
      </c>
      <c r="BA165" s="184" t="s">
        <v>356</v>
      </c>
      <c r="BB165" s="1" t="s">
        <v>448</v>
      </c>
      <c r="BC165" s="1" t="s">
        <v>481</v>
      </c>
      <c r="BE165" s="1">
        <v>1</v>
      </c>
      <c r="BK165" s="167" t="s">
        <v>465</v>
      </c>
      <c r="BU165" s="167"/>
      <c r="CE165" s="167"/>
      <c r="CI165" s="15" t="s">
        <v>253</v>
      </c>
    </row>
    <row r="166" spans="1:87" hidden="1">
      <c r="A166" s="4">
        <v>165</v>
      </c>
      <c r="B166" s="171">
        <v>25685</v>
      </c>
      <c r="C166" s="188" t="s">
        <v>247</v>
      </c>
      <c r="D166" s="1" t="s">
        <v>418</v>
      </c>
      <c r="E166" s="1">
        <f t="shared" ca="1" si="8"/>
        <v>55</v>
      </c>
      <c r="F166" s="1">
        <f t="shared" si="11"/>
        <v>48</v>
      </c>
      <c r="G166" s="1" t="s">
        <v>5</v>
      </c>
      <c r="H166" s="1" t="s">
        <v>14</v>
      </c>
      <c r="M166" s="1">
        <v>0</v>
      </c>
      <c r="N166" s="1">
        <v>0</v>
      </c>
      <c r="S166" s="1">
        <v>60</v>
      </c>
      <c r="T166" s="1">
        <v>70</v>
      </c>
      <c r="U166" s="1">
        <v>80</v>
      </c>
      <c r="V166" s="1">
        <v>40</v>
      </c>
      <c r="Z166" s="1">
        <v>0</v>
      </c>
      <c r="AA166" s="1">
        <v>0</v>
      </c>
      <c r="AB166" s="166"/>
      <c r="AF166" s="167"/>
      <c r="AG166" s="166"/>
      <c r="AK166" s="167"/>
      <c r="AV166" s="168">
        <v>43392</v>
      </c>
      <c r="AW166" s="1">
        <f t="shared" ca="1" si="10"/>
        <v>6</v>
      </c>
      <c r="AX166" s="1" t="s">
        <v>63</v>
      </c>
      <c r="BA166" s="184" t="s">
        <v>356</v>
      </c>
      <c r="BB166" s="1" t="s">
        <v>34</v>
      </c>
      <c r="BK166" s="167"/>
      <c r="BU166" s="167"/>
      <c r="CE166" s="167"/>
      <c r="CI166" s="15" t="s">
        <v>254</v>
      </c>
    </row>
    <row r="167" spans="1:87" hidden="1">
      <c r="A167" s="4">
        <v>166</v>
      </c>
      <c r="B167" s="171">
        <v>26550</v>
      </c>
      <c r="C167" s="188" t="s">
        <v>247</v>
      </c>
      <c r="D167" s="1" t="s">
        <v>170</v>
      </c>
      <c r="E167" s="1">
        <f t="shared" ca="1" si="8"/>
        <v>52</v>
      </c>
      <c r="F167" s="1">
        <f t="shared" si="11"/>
        <v>48</v>
      </c>
      <c r="G167" s="1" t="s">
        <v>5</v>
      </c>
      <c r="H167" s="1" t="s">
        <v>12</v>
      </c>
      <c r="I167" s="1" t="s">
        <v>12</v>
      </c>
      <c r="M167" s="1">
        <v>0</v>
      </c>
      <c r="N167" s="1">
        <v>0</v>
      </c>
      <c r="O167" s="1">
        <v>0</v>
      </c>
      <c r="Z167" s="1">
        <v>0</v>
      </c>
      <c r="AA167" s="1">
        <v>0</v>
      </c>
      <c r="AB167" s="166"/>
      <c r="AF167" s="167"/>
      <c r="AG167" s="166"/>
      <c r="AK167" s="167"/>
      <c r="AV167" s="168">
        <v>44336</v>
      </c>
      <c r="AW167" s="1">
        <f t="shared" ca="1" si="10"/>
        <v>4</v>
      </c>
      <c r="AX167" s="1" t="s">
        <v>63</v>
      </c>
      <c r="BA167" s="184"/>
      <c r="BB167" s="1" t="s">
        <v>34</v>
      </c>
      <c r="BK167" s="167"/>
      <c r="BU167" s="167"/>
      <c r="CE167" s="167"/>
      <c r="CF167" s="1" t="s">
        <v>487</v>
      </c>
      <c r="CG167" s="1">
        <v>1</v>
      </c>
      <c r="CI167" s="15" t="s">
        <v>255</v>
      </c>
    </row>
    <row r="168" spans="1:87" hidden="1">
      <c r="A168" s="4">
        <v>167</v>
      </c>
      <c r="B168" s="171">
        <v>32014</v>
      </c>
      <c r="C168" s="188" t="s">
        <v>256</v>
      </c>
      <c r="D168" s="1" t="s">
        <v>170</v>
      </c>
      <c r="E168" s="1">
        <f t="shared" ca="1" si="8"/>
        <v>37</v>
      </c>
      <c r="F168" s="1">
        <f t="shared" si="11"/>
        <v>36</v>
      </c>
      <c r="G168" s="1" t="s">
        <v>8</v>
      </c>
      <c r="H168" s="1" t="s">
        <v>12</v>
      </c>
      <c r="I168" s="1" t="s">
        <v>12</v>
      </c>
      <c r="J168" s="1">
        <v>93</v>
      </c>
      <c r="K168" s="1">
        <v>167</v>
      </c>
      <c r="M168" s="1">
        <v>1</v>
      </c>
      <c r="N168" s="1">
        <v>1</v>
      </c>
      <c r="O168" s="1">
        <v>1</v>
      </c>
      <c r="P168" s="1">
        <v>147</v>
      </c>
      <c r="Q168" s="1">
        <v>48</v>
      </c>
      <c r="R168" s="1">
        <v>247</v>
      </c>
      <c r="S168" s="1">
        <v>43</v>
      </c>
      <c r="T168" s="1">
        <v>66</v>
      </c>
      <c r="U168" s="1">
        <v>89</v>
      </c>
      <c r="V168" s="1">
        <v>22.9</v>
      </c>
      <c r="W168" s="1">
        <v>2834</v>
      </c>
      <c r="X168" s="1">
        <v>1</v>
      </c>
      <c r="Y168" s="1">
        <v>5.12</v>
      </c>
      <c r="Z168" s="1">
        <v>0</v>
      </c>
      <c r="AA168" s="1">
        <v>0</v>
      </c>
      <c r="AB168" s="166" t="s">
        <v>83</v>
      </c>
      <c r="AC168" s="1" t="s">
        <v>83</v>
      </c>
      <c r="AF168" s="167"/>
      <c r="AL168" s="166" t="s">
        <v>438</v>
      </c>
      <c r="AM168" s="1" t="s">
        <v>186</v>
      </c>
      <c r="AN168" s="1" t="s">
        <v>439</v>
      </c>
      <c r="AO168" s="1" t="s">
        <v>437</v>
      </c>
      <c r="AP168" s="1" t="s">
        <v>439</v>
      </c>
      <c r="AQ168" s="1" t="s">
        <v>437</v>
      </c>
      <c r="AR168" s="1" t="s">
        <v>437</v>
      </c>
      <c r="AS168" s="1" t="s">
        <v>437</v>
      </c>
      <c r="AT168" s="1" t="s">
        <v>437</v>
      </c>
      <c r="AU168" s="1" t="s">
        <v>437</v>
      </c>
      <c r="AV168" s="168">
        <v>45444</v>
      </c>
      <c r="AW168" s="1">
        <f t="shared" ca="1" si="10"/>
        <v>1</v>
      </c>
      <c r="AX168" s="1" t="s">
        <v>445</v>
      </c>
      <c r="AY168" s="1">
        <v>4</v>
      </c>
      <c r="BA168" s="184" t="s">
        <v>356</v>
      </c>
      <c r="BB168" s="1" t="s">
        <v>34</v>
      </c>
      <c r="BK168" s="167"/>
      <c r="CE168" s="167"/>
      <c r="CI168" s="15" t="s">
        <v>310</v>
      </c>
    </row>
    <row r="169" spans="1:87" hidden="1">
      <c r="A169" s="4">
        <v>168</v>
      </c>
      <c r="B169" s="171">
        <v>32540</v>
      </c>
      <c r="C169" s="188" t="s">
        <v>247</v>
      </c>
      <c r="D169" s="1" t="s">
        <v>170</v>
      </c>
      <c r="E169" s="1">
        <f t="shared" ca="1" si="8"/>
        <v>36</v>
      </c>
      <c r="F169" s="1">
        <f t="shared" si="11"/>
        <v>30</v>
      </c>
      <c r="G169" s="1" t="s">
        <v>5</v>
      </c>
      <c r="AB169" s="166"/>
      <c r="AG169" s="166"/>
      <c r="AL169" s="166"/>
      <c r="AV169" s="168">
        <v>43769</v>
      </c>
      <c r="AW169" s="1">
        <f t="shared" ca="1" si="10"/>
        <v>5</v>
      </c>
      <c r="AX169" s="1" t="s">
        <v>63</v>
      </c>
      <c r="BA169" s="184"/>
      <c r="CG169" s="1">
        <v>1</v>
      </c>
      <c r="CI169" s="32" t="s">
        <v>257</v>
      </c>
    </row>
    <row r="170" spans="1:87" hidden="1">
      <c r="A170" s="4">
        <v>169</v>
      </c>
      <c r="B170" s="171">
        <v>24256</v>
      </c>
      <c r="C170" s="188" t="s">
        <v>247</v>
      </c>
      <c r="D170" s="1" t="s">
        <v>418</v>
      </c>
      <c r="E170" s="1">
        <f t="shared" ca="1" si="8"/>
        <v>59</v>
      </c>
      <c r="F170" s="1">
        <f t="shared" si="11"/>
        <v>37</v>
      </c>
      <c r="G170" s="1" t="s">
        <v>5</v>
      </c>
      <c r="H170" s="1" t="s">
        <v>14</v>
      </c>
      <c r="I170" s="1" t="s">
        <v>14</v>
      </c>
      <c r="J170" s="1">
        <v>175</v>
      </c>
      <c r="K170" s="1">
        <v>72</v>
      </c>
      <c r="M170" s="1">
        <v>0</v>
      </c>
      <c r="N170" s="1">
        <v>0</v>
      </c>
      <c r="O170" s="1">
        <v>0</v>
      </c>
      <c r="Y170" s="1" t="s">
        <v>258</v>
      </c>
      <c r="Z170" s="1">
        <v>0</v>
      </c>
      <c r="AA170" s="1">
        <v>0</v>
      </c>
      <c r="AB170" s="166" t="s">
        <v>128</v>
      </c>
      <c r="AF170" s="167"/>
      <c r="AG170" s="166" t="s">
        <v>83</v>
      </c>
      <c r="AK170" s="167"/>
      <c r="AL170" s="1" t="s">
        <v>439</v>
      </c>
      <c r="AM170" s="1" t="s">
        <v>84</v>
      </c>
      <c r="AN170" s="1" t="s">
        <v>437</v>
      </c>
      <c r="AO170" s="1" t="s">
        <v>437</v>
      </c>
      <c r="AP170" s="1" t="s">
        <v>437</v>
      </c>
      <c r="AQ170" s="1" t="s">
        <v>437</v>
      </c>
      <c r="AR170" s="1" t="s">
        <v>439</v>
      </c>
      <c r="AS170" s="1" t="s">
        <v>437</v>
      </c>
      <c r="AT170" s="1" t="s">
        <v>439</v>
      </c>
      <c r="AU170" s="1" t="s">
        <v>437</v>
      </c>
      <c r="AV170" s="168">
        <v>38096</v>
      </c>
      <c r="AW170" s="1">
        <f t="shared" ca="1" si="10"/>
        <v>21</v>
      </c>
      <c r="AX170" s="1" t="s">
        <v>444</v>
      </c>
      <c r="AY170" s="1">
        <v>5.9</v>
      </c>
      <c r="BA170" s="184" t="s">
        <v>356</v>
      </c>
      <c r="BB170" s="1" t="s">
        <v>448</v>
      </c>
      <c r="BD170" s="1">
        <v>1</v>
      </c>
      <c r="BE170" s="1">
        <v>1</v>
      </c>
      <c r="BJ170" s="1">
        <v>1</v>
      </c>
      <c r="BK170" s="1" t="s">
        <v>465</v>
      </c>
      <c r="BL170" s="1" t="s">
        <v>446</v>
      </c>
      <c r="BN170" s="1" t="s">
        <v>483</v>
      </c>
      <c r="BU170" s="167"/>
      <c r="CE170" s="167"/>
      <c r="CI170" s="15" t="s">
        <v>259</v>
      </c>
    </row>
    <row r="171" spans="1:87" hidden="1">
      <c r="A171" s="4">
        <v>170</v>
      </c>
      <c r="B171" s="171">
        <v>30330</v>
      </c>
      <c r="C171" s="188" t="s">
        <v>247</v>
      </c>
      <c r="D171" s="1" t="s">
        <v>418</v>
      </c>
      <c r="E171" s="1">
        <f t="shared" ca="1" si="8"/>
        <v>42</v>
      </c>
      <c r="F171" s="1">
        <f t="shared" si="11"/>
        <v>37</v>
      </c>
      <c r="G171" s="1" t="s">
        <v>8</v>
      </c>
      <c r="H171" s="1" t="s">
        <v>12</v>
      </c>
      <c r="I171" s="1" t="s">
        <v>12</v>
      </c>
      <c r="K171" s="1">
        <v>89</v>
      </c>
      <c r="M171" s="1">
        <v>0</v>
      </c>
      <c r="N171" s="1">
        <v>0</v>
      </c>
      <c r="O171" s="1">
        <v>0</v>
      </c>
      <c r="P171" s="1">
        <v>25</v>
      </c>
      <c r="Q171" s="1">
        <v>19</v>
      </c>
      <c r="R171" s="1">
        <v>17</v>
      </c>
      <c r="S171" s="1">
        <v>13</v>
      </c>
      <c r="T171" s="1">
        <v>87</v>
      </c>
      <c r="U171" s="1">
        <v>205</v>
      </c>
      <c r="Z171" s="1">
        <v>0</v>
      </c>
      <c r="AA171" s="1">
        <v>0</v>
      </c>
      <c r="AB171" s="166" t="s">
        <v>91</v>
      </c>
      <c r="AF171" s="167"/>
      <c r="AG171" s="166"/>
      <c r="AK171" s="167"/>
      <c r="AL171" s="1" t="s">
        <v>437</v>
      </c>
      <c r="AV171" s="168">
        <v>44160</v>
      </c>
      <c r="AW171" s="1">
        <f t="shared" ca="1" si="10"/>
        <v>4</v>
      </c>
      <c r="AX171" s="1" t="s">
        <v>445</v>
      </c>
      <c r="AY171" s="1" t="s">
        <v>69</v>
      </c>
      <c r="BA171" s="184"/>
      <c r="BB171" s="1" t="s">
        <v>34</v>
      </c>
      <c r="BK171" s="167"/>
      <c r="BU171" s="167"/>
      <c r="CE171" s="167"/>
      <c r="CI171" s="15" t="s">
        <v>257</v>
      </c>
    </row>
    <row r="172" spans="1:87" hidden="1">
      <c r="A172" s="4">
        <v>171</v>
      </c>
      <c r="B172" s="171">
        <v>27618</v>
      </c>
      <c r="C172" s="188" t="s">
        <v>247</v>
      </c>
      <c r="D172" s="1" t="s">
        <v>418</v>
      </c>
      <c r="E172" s="1">
        <f t="shared" ca="1" si="8"/>
        <v>49</v>
      </c>
      <c r="F172" s="1">
        <f t="shared" si="11"/>
        <v>41</v>
      </c>
      <c r="G172" s="1" t="s">
        <v>8</v>
      </c>
      <c r="H172" s="1" t="s">
        <v>14</v>
      </c>
      <c r="I172" s="1" t="s">
        <v>14</v>
      </c>
      <c r="K172" s="1">
        <v>57</v>
      </c>
      <c r="M172" s="1">
        <v>0</v>
      </c>
      <c r="N172" s="1">
        <v>0</v>
      </c>
      <c r="O172" s="1">
        <v>0</v>
      </c>
      <c r="P172" s="1">
        <v>31</v>
      </c>
      <c r="Q172" s="1">
        <v>26</v>
      </c>
      <c r="R172" s="1">
        <v>107</v>
      </c>
      <c r="S172" s="1">
        <v>7</v>
      </c>
      <c r="T172" s="1">
        <v>77</v>
      </c>
      <c r="U172" s="1">
        <v>168</v>
      </c>
      <c r="V172" s="1">
        <v>32</v>
      </c>
      <c r="W172" s="1">
        <v>3587</v>
      </c>
      <c r="X172" s="1">
        <v>1</v>
      </c>
      <c r="Y172" s="1">
        <v>21</v>
      </c>
      <c r="Z172" s="1">
        <v>0</v>
      </c>
      <c r="AA172" s="1">
        <v>0</v>
      </c>
      <c r="AB172" s="166" t="s">
        <v>110</v>
      </c>
      <c r="AC172" s="1" t="s">
        <v>106</v>
      </c>
      <c r="AF172" s="167"/>
      <c r="AG172" s="166"/>
      <c r="AK172" s="167"/>
      <c r="AL172" s="1" t="s">
        <v>437</v>
      </c>
      <c r="AN172" s="1" t="s">
        <v>437</v>
      </c>
      <c r="AO172" s="1" t="s">
        <v>437</v>
      </c>
      <c r="AP172" s="1" t="s">
        <v>437</v>
      </c>
      <c r="AQ172" s="1" t="s">
        <v>437</v>
      </c>
      <c r="AR172" s="1" t="s">
        <v>437</v>
      </c>
      <c r="AS172" s="1" t="s">
        <v>437</v>
      </c>
      <c r="AT172" s="1" t="s">
        <v>437</v>
      </c>
      <c r="AU172" s="1" t="s">
        <v>437</v>
      </c>
      <c r="AV172" s="168">
        <v>42856</v>
      </c>
      <c r="AW172" s="1">
        <f t="shared" ca="1" si="10"/>
        <v>8</v>
      </c>
      <c r="AX172" s="1" t="s">
        <v>31</v>
      </c>
      <c r="AY172" s="1">
        <v>0</v>
      </c>
      <c r="BA172" s="184" t="s">
        <v>34</v>
      </c>
      <c r="BB172" s="1" t="s">
        <v>34</v>
      </c>
      <c r="BK172" s="167"/>
      <c r="BU172" s="167"/>
      <c r="CE172" s="167"/>
      <c r="CG172" s="1">
        <v>1</v>
      </c>
      <c r="CI172" s="15" t="s">
        <v>260</v>
      </c>
    </row>
    <row r="173" spans="1:87" ht="43.2" hidden="1">
      <c r="A173" s="4">
        <v>172</v>
      </c>
      <c r="B173" s="171">
        <v>28205</v>
      </c>
      <c r="C173" s="188" t="s">
        <v>247</v>
      </c>
      <c r="D173" s="1" t="s">
        <v>418</v>
      </c>
      <c r="E173" s="1">
        <f t="shared" ca="1" si="8"/>
        <v>48</v>
      </c>
      <c r="F173" s="1">
        <f t="shared" si="11"/>
        <v>32</v>
      </c>
      <c r="G173" s="1" t="s">
        <v>6</v>
      </c>
      <c r="H173" s="1" t="s">
        <v>12</v>
      </c>
      <c r="I173" s="1" t="s">
        <v>12</v>
      </c>
      <c r="J173" s="1">
        <v>172</v>
      </c>
      <c r="K173" s="1">
        <v>93</v>
      </c>
      <c r="M173" s="1">
        <v>0</v>
      </c>
      <c r="N173" s="1">
        <v>0</v>
      </c>
      <c r="O173" s="1">
        <v>0</v>
      </c>
      <c r="P173" s="1">
        <v>99</v>
      </c>
      <c r="Q173" s="1">
        <v>44</v>
      </c>
      <c r="R173" s="1">
        <v>43</v>
      </c>
      <c r="S173" s="1">
        <v>13</v>
      </c>
      <c r="T173" s="1">
        <v>13</v>
      </c>
      <c r="U173" s="1">
        <v>288</v>
      </c>
      <c r="Y173" s="1">
        <v>15000</v>
      </c>
      <c r="Z173" s="1">
        <v>0</v>
      </c>
      <c r="AA173" s="1">
        <v>0</v>
      </c>
      <c r="AB173" s="166" t="s">
        <v>110</v>
      </c>
      <c r="AF173" s="167"/>
      <c r="AG173" s="166"/>
      <c r="AK173" s="167"/>
      <c r="AL173" s="1" t="s">
        <v>437</v>
      </c>
      <c r="AN173" s="1" t="s">
        <v>437</v>
      </c>
      <c r="AO173" s="1" t="s">
        <v>437</v>
      </c>
      <c r="AP173" s="1" t="s">
        <v>437</v>
      </c>
      <c r="AQ173" s="1" t="s">
        <v>437</v>
      </c>
      <c r="AR173" s="1" t="s">
        <v>437</v>
      </c>
      <c r="AS173" s="1" t="s">
        <v>437</v>
      </c>
      <c r="AT173" s="1" t="s">
        <v>437</v>
      </c>
      <c r="AU173" s="1" t="s">
        <v>437</v>
      </c>
      <c r="AV173" s="168">
        <v>39948</v>
      </c>
      <c r="AW173" s="1">
        <f t="shared" ca="1" si="10"/>
        <v>16</v>
      </c>
      <c r="AX173" s="1" t="s">
        <v>445</v>
      </c>
      <c r="AY173" s="1" t="s">
        <v>69</v>
      </c>
      <c r="BA173" s="184" t="s">
        <v>356</v>
      </c>
      <c r="BB173" s="1" t="s">
        <v>448</v>
      </c>
      <c r="BC173" s="1" t="s">
        <v>480</v>
      </c>
      <c r="BE173" s="1">
        <v>1</v>
      </c>
      <c r="BJ173" s="1">
        <v>1</v>
      </c>
      <c r="BK173" s="167" t="s">
        <v>465</v>
      </c>
      <c r="BU173" s="167"/>
      <c r="CE173" s="167"/>
      <c r="CI173" s="15" t="s">
        <v>261</v>
      </c>
    </row>
    <row r="174" spans="1:87" hidden="1">
      <c r="A174" s="4">
        <v>173</v>
      </c>
      <c r="B174" s="171">
        <v>27181</v>
      </c>
      <c r="C174" s="188" t="s">
        <v>247</v>
      </c>
      <c r="D174" s="1" t="s">
        <v>418</v>
      </c>
      <c r="E174" s="1">
        <f t="shared" ca="1" si="8"/>
        <v>51</v>
      </c>
      <c r="F174" s="1">
        <f t="shared" si="11"/>
        <v>44</v>
      </c>
      <c r="G174" s="1" t="s">
        <v>6</v>
      </c>
      <c r="H174" s="1" t="s">
        <v>12</v>
      </c>
      <c r="I174" s="1" t="s">
        <v>12</v>
      </c>
      <c r="J174" s="1">
        <v>165</v>
      </c>
      <c r="K174" s="1">
        <v>66</v>
      </c>
      <c r="M174" s="1">
        <v>0</v>
      </c>
      <c r="N174" s="1">
        <v>0</v>
      </c>
      <c r="O174" s="1">
        <v>0</v>
      </c>
      <c r="P174" s="1">
        <v>33</v>
      </c>
      <c r="Q174" s="1">
        <v>35</v>
      </c>
      <c r="R174" s="1">
        <v>15</v>
      </c>
      <c r="S174" s="1">
        <v>15</v>
      </c>
      <c r="T174" s="1">
        <v>82</v>
      </c>
      <c r="U174" s="1">
        <v>170</v>
      </c>
      <c r="W174" s="1">
        <v>268</v>
      </c>
      <c r="Y174" s="1">
        <v>263</v>
      </c>
      <c r="Z174" s="1">
        <v>0</v>
      </c>
      <c r="AA174" s="1">
        <v>0</v>
      </c>
      <c r="AB174" s="166"/>
      <c r="AC174" s="1" t="s">
        <v>110</v>
      </c>
      <c r="AF174" s="167"/>
      <c r="AG174" s="166"/>
      <c r="AK174" s="167"/>
      <c r="AL174" s="1" t="s">
        <v>437</v>
      </c>
      <c r="AN174" s="1" t="s">
        <v>437</v>
      </c>
      <c r="AO174" s="1" t="s">
        <v>437</v>
      </c>
      <c r="AP174" s="1" t="s">
        <v>437</v>
      </c>
      <c r="AQ174" s="1" t="s">
        <v>437</v>
      </c>
      <c r="AR174" s="1" t="s">
        <v>437</v>
      </c>
      <c r="AS174" s="1" t="s">
        <v>437</v>
      </c>
      <c r="AT174" s="1" t="s">
        <v>437</v>
      </c>
      <c r="AU174" s="1" t="s">
        <v>437</v>
      </c>
      <c r="AV174" s="168">
        <v>43266</v>
      </c>
      <c r="AW174" s="1">
        <f t="shared" ca="1" si="10"/>
        <v>7</v>
      </c>
      <c r="AX174" s="1" t="s">
        <v>445</v>
      </c>
      <c r="AY174" s="1">
        <v>3</v>
      </c>
      <c r="BA174" s="184" t="s">
        <v>34</v>
      </c>
      <c r="BB174" s="1" t="s">
        <v>34</v>
      </c>
      <c r="BK174" s="167"/>
      <c r="BU174" s="167"/>
      <c r="CE174" s="167"/>
      <c r="CI174" s="15" t="s">
        <v>262</v>
      </c>
    </row>
    <row r="175" spans="1:87" hidden="1">
      <c r="A175" s="4">
        <v>174</v>
      </c>
      <c r="B175" s="171">
        <v>30591</v>
      </c>
      <c r="C175" s="188" t="s">
        <v>247</v>
      </c>
      <c r="D175" s="1" t="s">
        <v>170</v>
      </c>
      <c r="E175" s="1">
        <f t="shared" ca="1" si="8"/>
        <v>41</v>
      </c>
      <c r="F175" s="1">
        <f t="shared" si="11"/>
        <v>39</v>
      </c>
      <c r="G175" s="1" t="s">
        <v>6</v>
      </c>
      <c r="H175" s="1" t="s">
        <v>12</v>
      </c>
      <c r="I175" s="1" t="s">
        <v>12</v>
      </c>
      <c r="J175" s="1">
        <v>158</v>
      </c>
      <c r="K175" s="1">
        <v>52</v>
      </c>
      <c r="M175" s="1">
        <v>0</v>
      </c>
      <c r="N175" s="1">
        <v>0</v>
      </c>
      <c r="O175" s="1">
        <v>0</v>
      </c>
      <c r="P175" s="1">
        <v>50</v>
      </c>
      <c r="Q175" s="1">
        <v>55</v>
      </c>
      <c r="R175" s="1">
        <v>147</v>
      </c>
      <c r="U175" s="1">
        <v>287</v>
      </c>
      <c r="Z175" s="1">
        <v>0</v>
      </c>
      <c r="AA175" s="1">
        <v>0</v>
      </c>
      <c r="AB175" s="166" t="s">
        <v>83</v>
      </c>
      <c r="AF175" s="167"/>
      <c r="AG175" s="166"/>
      <c r="AK175" s="167"/>
      <c r="AL175" s="1" t="s">
        <v>438</v>
      </c>
      <c r="AM175" s="1" t="s">
        <v>186</v>
      </c>
      <c r="AT175" s="1" t="s">
        <v>440</v>
      </c>
      <c r="AV175" s="168">
        <v>44927</v>
      </c>
      <c r="AW175" s="1">
        <f t="shared" ca="1" si="10"/>
        <v>2</v>
      </c>
      <c r="AX175" s="1" t="s">
        <v>445</v>
      </c>
      <c r="AY175" s="1">
        <v>0</v>
      </c>
      <c r="BA175" s="184" t="s">
        <v>34</v>
      </c>
      <c r="BK175" s="167"/>
      <c r="BU175" s="167"/>
      <c r="CE175" s="167"/>
      <c r="CI175" s="15" t="s">
        <v>311</v>
      </c>
    </row>
    <row r="176" spans="1:87" ht="43.2" hidden="1">
      <c r="A176" s="4">
        <v>175</v>
      </c>
      <c r="B176" s="171">
        <v>31265</v>
      </c>
      <c r="C176" s="188" t="s">
        <v>247</v>
      </c>
      <c r="D176" s="1" t="s">
        <v>170</v>
      </c>
      <c r="E176" s="1">
        <f t="shared" ca="1" si="8"/>
        <v>39</v>
      </c>
      <c r="F176" s="1">
        <f t="shared" si="11"/>
        <v>22</v>
      </c>
      <c r="G176" s="1" t="s">
        <v>6</v>
      </c>
      <c r="H176" s="1" t="s">
        <v>12</v>
      </c>
      <c r="I176" s="1" t="s">
        <v>12</v>
      </c>
      <c r="K176" s="1">
        <v>71</v>
      </c>
      <c r="M176" s="1">
        <v>0</v>
      </c>
      <c r="N176" s="1">
        <v>0</v>
      </c>
      <c r="O176" s="1">
        <v>0</v>
      </c>
      <c r="P176" s="1">
        <v>49</v>
      </c>
      <c r="Q176" s="1">
        <v>28</v>
      </c>
      <c r="R176" s="1">
        <v>82</v>
      </c>
      <c r="S176" s="1">
        <v>7</v>
      </c>
      <c r="T176" s="1">
        <v>65</v>
      </c>
      <c r="U176" s="1">
        <v>74</v>
      </c>
      <c r="V176" s="1">
        <v>37.799999999999997</v>
      </c>
      <c r="Z176" s="1">
        <v>0</v>
      </c>
      <c r="AA176" s="1">
        <v>0</v>
      </c>
      <c r="AB176" s="166" t="s">
        <v>83</v>
      </c>
      <c r="AF176" s="167"/>
      <c r="AG176" s="166"/>
      <c r="AK176" s="167"/>
      <c r="AL176" s="1" t="s">
        <v>438</v>
      </c>
      <c r="AM176" s="1" t="s">
        <v>84</v>
      </c>
      <c r="AN176" s="1" t="s">
        <v>437</v>
      </c>
      <c r="AO176" s="1" t="s">
        <v>437</v>
      </c>
      <c r="AP176" s="1" t="s">
        <v>437</v>
      </c>
      <c r="AQ176" s="1" t="s">
        <v>437</v>
      </c>
      <c r="AR176" s="1" t="s">
        <v>437</v>
      </c>
      <c r="AS176" s="1" t="s">
        <v>437</v>
      </c>
      <c r="AT176" s="1" t="s">
        <v>437</v>
      </c>
      <c r="AU176" s="1" t="s">
        <v>437</v>
      </c>
      <c r="AV176" s="168">
        <v>39448</v>
      </c>
      <c r="AW176" s="1">
        <f t="shared" ca="1" si="10"/>
        <v>17</v>
      </c>
      <c r="AX176" s="1" t="s">
        <v>445</v>
      </c>
      <c r="AY176" s="1">
        <v>4</v>
      </c>
      <c r="BA176" s="184" t="s">
        <v>356</v>
      </c>
      <c r="BB176" s="1" t="s">
        <v>448</v>
      </c>
      <c r="BD176" s="1">
        <v>1</v>
      </c>
      <c r="BE176" s="1">
        <v>1</v>
      </c>
      <c r="BH176" s="1">
        <v>1</v>
      </c>
      <c r="BK176" s="167"/>
      <c r="BU176" s="167"/>
      <c r="CE176" s="167"/>
      <c r="CI176" s="15" t="s">
        <v>263</v>
      </c>
    </row>
    <row r="177" spans="1:87" hidden="1">
      <c r="A177" s="4">
        <v>176</v>
      </c>
      <c r="B177" s="171">
        <v>24965</v>
      </c>
      <c r="C177" s="188" t="s">
        <v>247</v>
      </c>
      <c r="D177" s="1" t="s">
        <v>418</v>
      </c>
      <c r="E177" s="1">
        <f t="shared" ca="1" si="8"/>
        <v>57</v>
      </c>
      <c r="F177" s="1">
        <f t="shared" si="11"/>
        <v>19</v>
      </c>
      <c r="G177" s="1" t="s">
        <v>8</v>
      </c>
      <c r="H177" s="1" t="s">
        <v>12</v>
      </c>
      <c r="I177" s="1" t="s">
        <v>12</v>
      </c>
      <c r="J177" s="1">
        <v>185</v>
      </c>
      <c r="K177" s="1">
        <v>70</v>
      </c>
      <c r="M177" s="1">
        <v>0</v>
      </c>
      <c r="N177" s="1">
        <v>0</v>
      </c>
      <c r="O177" s="1">
        <v>0</v>
      </c>
      <c r="P177" s="1">
        <v>122</v>
      </c>
      <c r="Q177" s="1">
        <v>127</v>
      </c>
      <c r="R177" s="1">
        <v>38</v>
      </c>
      <c r="S177" s="1">
        <v>10</v>
      </c>
      <c r="T177" s="1">
        <v>66</v>
      </c>
      <c r="U177" s="1">
        <v>176</v>
      </c>
      <c r="X177" s="1">
        <v>1</v>
      </c>
      <c r="Y177" s="1">
        <v>1220</v>
      </c>
      <c r="Z177" s="1">
        <v>0</v>
      </c>
      <c r="AA177" s="1">
        <v>0</v>
      </c>
      <c r="AB177" s="166" t="s">
        <v>83</v>
      </c>
      <c r="AF177" s="167"/>
      <c r="AG177" s="166"/>
      <c r="AH177" s="1" t="s">
        <v>110</v>
      </c>
      <c r="AK177" s="167"/>
      <c r="AL177" s="1" t="s">
        <v>438</v>
      </c>
      <c r="AM177" s="1" t="s">
        <v>84</v>
      </c>
      <c r="AN177" s="1" t="s">
        <v>437</v>
      </c>
      <c r="AO177" s="1" t="s">
        <v>437</v>
      </c>
      <c r="AP177" s="1" t="s">
        <v>437</v>
      </c>
      <c r="AQ177" s="1" t="s">
        <v>437</v>
      </c>
      <c r="AR177" s="1" t="s">
        <v>437</v>
      </c>
      <c r="AS177" s="1" t="s">
        <v>437</v>
      </c>
      <c r="AT177" s="1" t="s">
        <v>437</v>
      </c>
      <c r="AU177" s="1" t="s">
        <v>437</v>
      </c>
      <c r="AV177" s="168">
        <v>31943</v>
      </c>
      <c r="AW177" s="1">
        <f t="shared" ca="1" si="10"/>
        <v>38</v>
      </c>
      <c r="AX177" s="1" t="s">
        <v>445</v>
      </c>
      <c r="AY177" s="1">
        <v>0</v>
      </c>
      <c r="BA177" s="184" t="s">
        <v>34</v>
      </c>
      <c r="BB177" s="1" t="s">
        <v>34</v>
      </c>
      <c r="BK177" s="167"/>
      <c r="BU177" s="167"/>
      <c r="CE177" s="167"/>
      <c r="CI177" s="15" t="s">
        <v>264</v>
      </c>
    </row>
    <row r="178" spans="1:87" hidden="1">
      <c r="A178" s="4">
        <v>177</v>
      </c>
      <c r="B178" s="171">
        <v>32874</v>
      </c>
      <c r="C178" s="188" t="s">
        <v>247</v>
      </c>
      <c r="D178" s="1" t="s">
        <v>170</v>
      </c>
      <c r="E178" s="1">
        <f t="shared" ca="1" si="8"/>
        <v>35</v>
      </c>
      <c r="F178" s="1">
        <f t="shared" si="11"/>
        <v>32</v>
      </c>
      <c r="G178" s="1" t="s">
        <v>8</v>
      </c>
      <c r="H178" s="1" t="s">
        <v>12</v>
      </c>
      <c r="I178" s="1" t="s">
        <v>12</v>
      </c>
      <c r="J178" s="1">
        <v>148</v>
      </c>
      <c r="K178" s="1">
        <v>82</v>
      </c>
      <c r="M178" s="1">
        <v>1</v>
      </c>
      <c r="N178" s="1">
        <v>0</v>
      </c>
      <c r="O178" s="1">
        <v>0</v>
      </c>
      <c r="P178" s="1">
        <v>81</v>
      </c>
      <c r="Q178" s="1">
        <v>108</v>
      </c>
      <c r="R178" s="1">
        <v>185</v>
      </c>
      <c r="S178" s="1">
        <v>7</v>
      </c>
      <c r="T178" s="1">
        <v>100</v>
      </c>
      <c r="U178" s="1">
        <v>201</v>
      </c>
      <c r="V178" s="1">
        <v>36</v>
      </c>
      <c r="W178" s="1">
        <v>0.22</v>
      </c>
      <c r="Y178" s="1">
        <v>10</v>
      </c>
      <c r="Z178" s="1">
        <v>0</v>
      </c>
      <c r="AA178" s="1">
        <v>1</v>
      </c>
      <c r="AB178" s="166"/>
      <c r="AF178" s="167"/>
      <c r="AG178" s="166"/>
      <c r="AK178" s="167"/>
      <c r="AL178" s="1" t="s">
        <v>437</v>
      </c>
      <c r="AN178" s="1" t="s">
        <v>437</v>
      </c>
      <c r="AO178" s="1" t="s">
        <v>437</v>
      </c>
      <c r="AP178" s="1" t="s">
        <v>437</v>
      </c>
      <c r="AQ178" s="1" t="s">
        <v>437</v>
      </c>
      <c r="AR178" s="1" t="s">
        <v>437</v>
      </c>
      <c r="AS178" s="1" t="s">
        <v>437</v>
      </c>
      <c r="AT178" s="1" t="s">
        <v>437</v>
      </c>
      <c r="AU178" s="1" t="s">
        <v>437</v>
      </c>
      <c r="AV178" s="168">
        <v>44879</v>
      </c>
      <c r="AW178" s="1">
        <f t="shared" ca="1" si="10"/>
        <v>2</v>
      </c>
      <c r="AX178" s="1" t="s">
        <v>445</v>
      </c>
      <c r="AY178" s="1">
        <v>0</v>
      </c>
      <c r="BA178" s="184" t="s">
        <v>34</v>
      </c>
      <c r="BB178" s="1" t="s">
        <v>34</v>
      </c>
      <c r="BK178" s="167"/>
      <c r="BU178" s="167"/>
      <c r="CE178" s="167"/>
      <c r="CI178" s="15" t="s">
        <v>265</v>
      </c>
    </row>
    <row r="179" spans="1:87" hidden="1">
      <c r="A179" s="4">
        <v>178</v>
      </c>
      <c r="B179" s="171">
        <v>28089</v>
      </c>
      <c r="C179" s="188" t="s">
        <v>247</v>
      </c>
      <c r="D179" s="1" t="s">
        <v>418</v>
      </c>
      <c r="E179" s="1">
        <f t="shared" ca="1" si="8"/>
        <v>48</v>
      </c>
      <c r="F179" s="1">
        <f t="shared" si="11"/>
        <v>40</v>
      </c>
      <c r="G179" s="1" t="s">
        <v>419</v>
      </c>
      <c r="P179" s="1">
        <v>94</v>
      </c>
      <c r="Q179" s="1">
        <v>72</v>
      </c>
      <c r="R179" s="1">
        <v>47</v>
      </c>
      <c r="S179" s="1">
        <v>10</v>
      </c>
      <c r="T179" s="1">
        <v>84</v>
      </c>
      <c r="U179" s="1">
        <v>104</v>
      </c>
      <c r="V179" s="1">
        <v>42</v>
      </c>
      <c r="W179" s="1">
        <v>4886</v>
      </c>
      <c r="X179" s="1">
        <v>0</v>
      </c>
      <c r="Y179" s="1">
        <v>108</v>
      </c>
      <c r="Z179" s="1">
        <v>1</v>
      </c>
      <c r="AA179" s="1">
        <v>0</v>
      </c>
      <c r="AB179" s="166"/>
      <c r="AG179" s="166"/>
      <c r="AK179" s="167"/>
      <c r="AL179" s="166" t="s">
        <v>69</v>
      </c>
      <c r="AV179" s="168">
        <v>42857</v>
      </c>
      <c r="AW179" s="1">
        <f t="shared" ca="1" si="10"/>
        <v>8</v>
      </c>
      <c r="AX179" s="1" t="s">
        <v>444</v>
      </c>
      <c r="BA179" s="184" t="s">
        <v>34</v>
      </c>
      <c r="BB179" s="1" t="s">
        <v>34</v>
      </c>
      <c r="CF179" s="1" t="s">
        <v>213</v>
      </c>
      <c r="CG179" s="1">
        <v>1</v>
      </c>
      <c r="CI179" s="15" t="s">
        <v>266</v>
      </c>
    </row>
    <row r="180" spans="1:87" hidden="1">
      <c r="A180" s="4">
        <v>179</v>
      </c>
      <c r="B180" s="171">
        <v>24555</v>
      </c>
      <c r="C180" s="188" t="s">
        <v>247</v>
      </c>
      <c r="D180" s="1" t="s">
        <v>418</v>
      </c>
      <c r="E180" s="1">
        <f t="shared" ca="1" si="8"/>
        <v>58</v>
      </c>
      <c r="F180" s="1">
        <f t="shared" si="11"/>
        <v>50</v>
      </c>
      <c r="G180" s="1" t="s">
        <v>6</v>
      </c>
      <c r="H180" s="1" t="s">
        <v>12</v>
      </c>
      <c r="I180" s="1" t="s">
        <v>12</v>
      </c>
      <c r="J180" s="1">
        <v>165</v>
      </c>
      <c r="K180" s="1">
        <v>86</v>
      </c>
      <c r="M180" s="1">
        <v>0</v>
      </c>
      <c r="N180" s="1">
        <v>0</v>
      </c>
      <c r="O180" s="1">
        <v>0</v>
      </c>
      <c r="P180" s="1">
        <v>36</v>
      </c>
      <c r="Q180" s="1">
        <v>51</v>
      </c>
      <c r="R180" s="1">
        <v>77</v>
      </c>
      <c r="S180" s="1">
        <v>14</v>
      </c>
      <c r="T180" s="1">
        <v>59</v>
      </c>
      <c r="U180" s="1">
        <v>70</v>
      </c>
      <c r="V180" s="1">
        <v>37</v>
      </c>
      <c r="W180" s="1">
        <v>2792</v>
      </c>
      <c r="Y180" s="1">
        <v>147</v>
      </c>
      <c r="Z180" s="1">
        <v>0</v>
      </c>
      <c r="AA180" s="1">
        <v>0</v>
      </c>
      <c r="AB180" s="166"/>
      <c r="AG180" s="166"/>
      <c r="AL180" s="166" t="s">
        <v>69</v>
      </c>
      <c r="AV180" s="168">
        <v>43127</v>
      </c>
      <c r="AW180" s="1">
        <f t="shared" ca="1" si="10"/>
        <v>7</v>
      </c>
      <c r="AX180" s="1" t="s">
        <v>484</v>
      </c>
      <c r="BA180" s="184" t="s">
        <v>34</v>
      </c>
      <c r="BB180" s="1" t="s">
        <v>34</v>
      </c>
      <c r="CG180" s="1">
        <v>1</v>
      </c>
      <c r="CI180" s="15" t="s">
        <v>267</v>
      </c>
    </row>
    <row r="181" spans="1:87" hidden="1">
      <c r="A181" s="4">
        <v>180</v>
      </c>
      <c r="B181" s="171">
        <v>33970</v>
      </c>
      <c r="C181" s="188" t="s">
        <v>247</v>
      </c>
      <c r="D181" s="1" t="s">
        <v>418</v>
      </c>
      <c r="E181" s="1">
        <f t="shared" ca="1" si="8"/>
        <v>32</v>
      </c>
      <c r="F181" s="1">
        <f t="shared" si="11"/>
        <v>27</v>
      </c>
      <c r="G181" s="1" t="s">
        <v>6</v>
      </c>
      <c r="H181" s="1" t="s">
        <v>12</v>
      </c>
      <c r="I181" s="1" t="s">
        <v>12</v>
      </c>
      <c r="J181" s="1">
        <v>171</v>
      </c>
      <c r="K181" s="1">
        <v>74</v>
      </c>
      <c r="M181" s="1">
        <v>0</v>
      </c>
      <c r="N181" s="1">
        <v>0</v>
      </c>
      <c r="O181" s="1">
        <v>0</v>
      </c>
      <c r="P181" s="1">
        <v>25</v>
      </c>
      <c r="Q181" s="1">
        <v>23</v>
      </c>
      <c r="R181" s="1">
        <v>25</v>
      </c>
      <c r="S181" s="1">
        <v>13</v>
      </c>
      <c r="T181" s="1">
        <v>92</v>
      </c>
      <c r="U181" s="1">
        <v>280</v>
      </c>
      <c r="V181" s="1">
        <v>44</v>
      </c>
      <c r="W181" s="1">
        <v>4435</v>
      </c>
      <c r="X181" s="1">
        <v>0</v>
      </c>
      <c r="Y181" s="1">
        <v>803</v>
      </c>
      <c r="Z181" s="1">
        <v>0</v>
      </c>
      <c r="AA181" s="1">
        <v>0</v>
      </c>
      <c r="AB181" s="166"/>
      <c r="AF181" s="167"/>
      <c r="AG181" s="166"/>
      <c r="AK181" s="167"/>
      <c r="AL181" s="1" t="s">
        <v>69</v>
      </c>
      <c r="AV181" s="168">
        <v>44014</v>
      </c>
      <c r="AW181" s="1">
        <f t="shared" ca="1" si="10"/>
        <v>5</v>
      </c>
      <c r="AX181" s="1" t="s">
        <v>484</v>
      </c>
      <c r="AY181" s="1">
        <v>0</v>
      </c>
      <c r="BA181" s="184" t="s">
        <v>34</v>
      </c>
      <c r="BB181" s="1" t="s">
        <v>34</v>
      </c>
      <c r="BK181" s="167"/>
      <c r="BU181" s="167"/>
      <c r="CE181" s="167"/>
      <c r="CG181" s="1">
        <v>1</v>
      </c>
      <c r="CI181" s="15" t="s">
        <v>268</v>
      </c>
    </row>
    <row r="182" spans="1:87" hidden="1">
      <c r="A182" s="4">
        <v>181</v>
      </c>
      <c r="B182" s="171">
        <v>22177</v>
      </c>
      <c r="C182" s="188" t="s">
        <v>247</v>
      </c>
      <c r="D182" s="1" t="s">
        <v>418</v>
      </c>
      <c r="E182" s="1">
        <f t="shared" ca="1" si="8"/>
        <v>64</v>
      </c>
      <c r="F182" s="1">
        <f t="shared" si="11"/>
        <v>48</v>
      </c>
      <c r="G182" s="1" t="s">
        <v>419</v>
      </c>
      <c r="H182" s="1" t="s">
        <v>14</v>
      </c>
      <c r="I182" s="1" t="s">
        <v>12</v>
      </c>
      <c r="J182" s="1">
        <v>176</v>
      </c>
      <c r="K182" s="1">
        <v>95</v>
      </c>
      <c r="M182" s="1">
        <v>0</v>
      </c>
      <c r="N182" s="1">
        <v>0</v>
      </c>
      <c r="O182" s="1">
        <v>0</v>
      </c>
      <c r="P182" s="1">
        <v>42</v>
      </c>
      <c r="Q182" s="1">
        <v>65</v>
      </c>
      <c r="R182" s="1">
        <v>148</v>
      </c>
      <c r="S182" s="1">
        <v>11</v>
      </c>
      <c r="T182" s="1">
        <v>65</v>
      </c>
      <c r="U182" s="1">
        <v>34</v>
      </c>
      <c r="V182" s="1">
        <v>43</v>
      </c>
      <c r="Y182" s="1">
        <v>10</v>
      </c>
      <c r="Z182" s="1">
        <v>1</v>
      </c>
      <c r="AA182" s="1">
        <v>0</v>
      </c>
      <c r="AB182" s="166" t="s">
        <v>83</v>
      </c>
      <c r="AF182" s="167"/>
      <c r="AG182" s="166"/>
      <c r="AH182" s="1" t="s">
        <v>83</v>
      </c>
      <c r="AK182" s="167"/>
      <c r="AL182" s="1" t="s">
        <v>438</v>
      </c>
      <c r="AM182" s="1" t="s">
        <v>84</v>
      </c>
      <c r="AN182" s="1" t="s">
        <v>437</v>
      </c>
      <c r="AO182" s="1" t="s">
        <v>437</v>
      </c>
      <c r="AP182" s="1" t="s">
        <v>437</v>
      </c>
      <c r="AQ182" s="1" t="s">
        <v>437</v>
      </c>
      <c r="AR182" s="1" t="s">
        <v>437</v>
      </c>
      <c r="AS182" s="1" t="s">
        <v>437</v>
      </c>
      <c r="AT182" s="1" t="s">
        <v>437</v>
      </c>
      <c r="AU182" s="1" t="s">
        <v>437</v>
      </c>
      <c r="AV182" s="168">
        <v>39805</v>
      </c>
      <c r="AW182" s="1">
        <f t="shared" ca="1" si="10"/>
        <v>16</v>
      </c>
      <c r="AX182" s="1" t="s">
        <v>445</v>
      </c>
      <c r="AY182" s="1">
        <v>6.83</v>
      </c>
      <c r="BA182" s="184" t="s">
        <v>356</v>
      </c>
      <c r="BB182" s="1" t="s">
        <v>448</v>
      </c>
      <c r="BD182" s="1">
        <v>1</v>
      </c>
      <c r="BE182" s="1">
        <v>1</v>
      </c>
      <c r="BJ182" s="1">
        <v>1</v>
      </c>
      <c r="BK182" s="167"/>
      <c r="BU182" s="167"/>
      <c r="CE182" s="167"/>
      <c r="CI182" s="15" t="s">
        <v>269</v>
      </c>
    </row>
    <row r="183" spans="1:87" hidden="1">
      <c r="A183" s="4">
        <v>182</v>
      </c>
      <c r="B183" s="195">
        <v>31630</v>
      </c>
      <c r="C183" s="188" t="s">
        <v>247</v>
      </c>
      <c r="D183" s="170" t="s">
        <v>418</v>
      </c>
      <c r="E183" s="1">
        <f t="shared" ca="1" si="8"/>
        <v>38</v>
      </c>
      <c r="F183" s="1">
        <f t="shared" si="11"/>
        <v>33</v>
      </c>
      <c r="G183" s="1" t="s">
        <v>419</v>
      </c>
      <c r="H183" s="1" t="s">
        <v>12</v>
      </c>
      <c r="I183" s="1" t="s">
        <v>12</v>
      </c>
      <c r="J183" s="1">
        <v>165</v>
      </c>
      <c r="K183" s="1">
        <v>60</v>
      </c>
      <c r="M183" s="1">
        <v>0</v>
      </c>
      <c r="N183" s="1">
        <v>0</v>
      </c>
      <c r="O183" s="1">
        <v>0</v>
      </c>
      <c r="P183" s="1">
        <v>46</v>
      </c>
      <c r="Q183" s="1">
        <v>58</v>
      </c>
      <c r="R183" s="1">
        <v>59</v>
      </c>
      <c r="S183" s="1">
        <v>10</v>
      </c>
      <c r="T183" s="1">
        <v>65</v>
      </c>
      <c r="U183" s="1">
        <v>67</v>
      </c>
      <c r="V183" s="1">
        <v>46</v>
      </c>
      <c r="W183" s="1">
        <v>3351</v>
      </c>
      <c r="X183" s="1">
        <v>1</v>
      </c>
      <c r="Y183" s="1">
        <v>26442</v>
      </c>
      <c r="Z183" s="1">
        <v>1</v>
      </c>
      <c r="AA183" s="1">
        <v>0</v>
      </c>
      <c r="AB183" s="166"/>
      <c r="AC183" s="1" t="s">
        <v>83</v>
      </c>
      <c r="AF183" s="167"/>
      <c r="AG183" s="166"/>
      <c r="AK183" s="167"/>
      <c r="AL183" s="1" t="s">
        <v>438</v>
      </c>
      <c r="AM183" s="1" t="s">
        <v>84</v>
      </c>
      <c r="AN183" s="1" t="s">
        <v>437</v>
      </c>
      <c r="AO183" s="1" t="s">
        <v>437</v>
      </c>
      <c r="AP183" s="1" t="s">
        <v>437</v>
      </c>
      <c r="AQ183" s="1" t="s">
        <v>437</v>
      </c>
      <c r="AR183" s="1" t="s">
        <v>437</v>
      </c>
      <c r="AS183" s="1" t="s">
        <v>437</v>
      </c>
      <c r="AT183" s="1" t="s">
        <v>437</v>
      </c>
      <c r="AU183" s="1" t="s">
        <v>437</v>
      </c>
      <c r="AV183" s="168">
        <v>43863</v>
      </c>
      <c r="AW183" s="1">
        <f t="shared" ca="1" si="10"/>
        <v>5</v>
      </c>
      <c r="AX183" s="1" t="s">
        <v>444</v>
      </c>
      <c r="AY183" s="1">
        <v>6.9</v>
      </c>
      <c r="BA183" s="184" t="s">
        <v>356</v>
      </c>
      <c r="BB183" s="1" t="s">
        <v>446</v>
      </c>
      <c r="BD183" s="1">
        <v>1</v>
      </c>
      <c r="BK183" s="167"/>
      <c r="BL183" s="1" t="s">
        <v>447</v>
      </c>
      <c r="BM183" s="1" t="s">
        <v>481</v>
      </c>
      <c r="BN183" s="1" t="s">
        <v>483</v>
      </c>
      <c r="BO183" s="1">
        <v>1</v>
      </c>
      <c r="BT183" s="1">
        <v>1</v>
      </c>
      <c r="BU183" s="167"/>
      <c r="CE183" s="167"/>
      <c r="CI183" s="15" t="s">
        <v>312</v>
      </c>
    </row>
    <row r="184" spans="1:87" hidden="1">
      <c r="A184" s="4">
        <v>183</v>
      </c>
      <c r="B184" s="195">
        <v>32867</v>
      </c>
      <c r="C184" s="188" t="s">
        <v>247</v>
      </c>
      <c r="D184" s="170" t="s">
        <v>170</v>
      </c>
      <c r="E184" s="1">
        <f t="shared" ca="1" si="8"/>
        <v>35</v>
      </c>
      <c r="F184" s="1">
        <f t="shared" si="11"/>
        <v>33</v>
      </c>
      <c r="G184" s="1" t="s">
        <v>8</v>
      </c>
      <c r="H184" s="1" t="s">
        <v>12</v>
      </c>
      <c r="I184" s="1" t="s">
        <v>12</v>
      </c>
      <c r="J184" s="1">
        <v>175</v>
      </c>
      <c r="K184" s="1">
        <v>96</v>
      </c>
      <c r="M184" s="1">
        <v>0</v>
      </c>
      <c r="N184" s="1">
        <v>0</v>
      </c>
      <c r="O184" s="1">
        <v>0</v>
      </c>
      <c r="P184" s="1">
        <v>14</v>
      </c>
      <c r="Q184" s="1">
        <v>15</v>
      </c>
      <c r="R184" s="1">
        <v>8</v>
      </c>
      <c r="S184" s="1">
        <v>5</v>
      </c>
      <c r="U184" s="1">
        <v>263</v>
      </c>
      <c r="W184" s="1">
        <v>4067</v>
      </c>
      <c r="X184" s="1">
        <v>1</v>
      </c>
      <c r="Y184" s="1">
        <v>865</v>
      </c>
      <c r="Z184" s="1">
        <v>0</v>
      </c>
      <c r="AA184" s="1">
        <v>0</v>
      </c>
      <c r="AB184" s="166"/>
      <c r="AC184" s="1" t="s">
        <v>128</v>
      </c>
      <c r="AF184" s="167"/>
      <c r="AG184" s="166" t="s">
        <v>110</v>
      </c>
      <c r="AK184" s="167"/>
      <c r="AL184" s="1" t="s">
        <v>437</v>
      </c>
      <c r="AN184" s="1" t="s">
        <v>437</v>
      </c>
      <c r="AO184" s="1" t="s">
        <v>437</v>
      </c>
      <c r="AP184" s="1" t="s">
        <v>437</v>
      </c>
      <c r="AQ184" s="1" t="s">
        <v>437</v>
      </c>
      <c r="AR184" s="1" t="s">
        <v>437</v>
      </c>
      <c r="AS184" s="1" t="s">
        <v>437</v>
      </c>
      <c r="AT184" s="1" t="s">
        <v>437</v>
      </c>
      <c r="AU184" s="1" t="s">
        <v>437</v>
      </c>
      <c r="AV184" s="168">
        <v>45260</v>
      </c>
      <c r="AW184" s="1">
        <f t="shared" ca="1" si="10"/>
        <v>1</v>
      </c>
      <c r="AX184" s="1" t="s">
        <v>445</v>
      </c>
      <c r="AY184" s="1">
        <v>0</v>
      </c>
      <c r="BA184" s="184" t="s">
        <v>34</v>
      </c>
      <c r="BB184" s="1" t="s">
        <v>34</v>
      </c>
      <c r="BK184" s="167"/>
      <c r="BU184" s="167"/>
      <c r="CE184" s="167"/>
      <c r="CI184" s="15" t="s">
        <v>257</v>
      </c>
    </row>
    <row r="185" spans="1:87" hidden="1">
      <c r="A185" s="4">
        <v>184</v>
      </c>
      <c r="B185" s="195">
        <v>27041</v>
      </c>
      <c r="C185" s="188" t="s">
        <v>247</v>
      </c>
      <c r="D185" s="170" t="s">
        <v>418</v>
      </c>
      <c r="E185" s="1">
        <f t="shared" ca="1" si="8"/>
        <v>51</v>
      </c>
      <c r="F185" s="1">
        <f t="shared" si="11"/>
        <v>48</v>
      </c>
      <c r="G185" s="1" t="s">
        <v>8</v>
      </c>
      <c r="H185" s="1" t="s">
        <v>12</v>
      </c>
      <c r="I185" s="1" t="s">
        <v>12</v>
      </c>
      <c r="J185" s="1">
        <v>180</v>
      </c>
      <c r="K185" s="1">
        <v>84</v>
      </c>
      <c r="M185" s="1">
        <v>1</v>
      </c>
      <c r="N185" s="1">
        <v>0</v>
      </c>
      <c r="O185" s="1">
        <v>0</v>
      </c>
      <c r="P185" s="1">
        <v>733</v>
      </c>
      <c r="Q185" s="1">
        <v>623</v>
      </c>
      <c r="R185" s="1">
        <v>410</v>
      </c>
      <c r="S185" s="1">
        <v>74</v>
      </c>
      <c r="T185" s="1">
        <v>70</v>
      </c>
      <c r="U185" s="1">
        <v>159</v>
      </c>
      <c r="V185" s="1">
        <v>33</v>
      </c>
      <c r="W185" s="1">
        <v>927</v>
      </c>
      <c r="X185" s="1">
        <v>0</v>
      </c>
      <c r="Y185" s="1">
        <v>0</v>
      </c>
      <c r="Z185" s="1">
        <v>0</v>
      </c>
      <c r="AA185" s="1">
        <v>1</v>
      </c>
      <c r="AB185" s="166"/>
      <c r="AL185" s="1" t="s">
        <v>437</v>
      </c>
      <c r="AN185" s="1" t="s">
        <v>437</v>
      </c>
      <c r="AO185" s="1" t="s">
        <v>437</v>
      </c>
      <c r="AP185" s="1" t="s">
        <v>437</v>
      </c>
      <c r="AQ185" s="1" t="s">
        <v>437</v>
      </c>
      <c r="AR185" s="1" t="s">
        <v>437</v>
      </c>
      <c r="AS185" s="1" t="s">
        <v>437</v>
      </c>
      <c r="AT185" s="1" t="s">
        <v>437</v>
      </c>
      <c r="AU185" s="1" t="s">
        <v>437</v>
      </c>
      <c r="AV185" s="168">
        <v>44652</v>
      </c>
      <c r="AW185" s="1">
        <f t="shared" ca="1" si="10"/>
        <v>3</v>
      </c>
      <c r="AX185" s="1" t="s">
        <v>31</v>
      </c>
      <c r="AY185" s="1">
        <v>0</v>
      </c>
      <c r="BA185" s="184" t="s">
        <v>34</v>
      </c>
      <c r="BB185" s="1" t="s">
        <v>34</v>
      </c>
      <c r="BK185" s="167"/>
      <c r="BU185" s="167"/>
      <c r="CE185" s="167"/>
      <c r="CI185" s="15" t="s">
        <v>257</v>
      </c>
    </row>
    <row r="186" spans="1:87" hidden="1">
      <c r="A186" s="4">
        <v>185</v>
      </c>
      <c r="B186" s="171">
        <v>31748</v>
      </c>
      <c r="C186" s="188" t="s">
        <v>247</v>
      </c>
      <c r="D186" s="1" t="s">
        <v>418</v>
      </c>
      <c r="E186" s="1">
        <f t="shared" ca="1" si="8"/>
        <v>38</v>
      </c>
      <c r="F186" s="1">
        <f t="shared" si="11"/>
        <v>36</v>
      </c>
      <c r="G186" s="1" t="s">
        <v>8</v>
      </c>
      <c r="H186" s="1" t="s">
        <v>12</v>
      </c>
      <c r="I186" s="1" t="s">
        <v>12</v>
      </c>
      <c r="J186" s="1">
        <v>180</v>
      </c>
      <c r="K186" s="1">
        <v>84</v>
      </c>
      <c r="M186" s="1">
        <v>0</v>
      </c>
      <c r="N186" s="1">
        <v>0</v>
      </c>
      <c r="O186" s="1">
        <v>0</v>
      </c>
      <c r="P186" s="1">
        <v>39</v>
      </c>
      <c r="Q186" s="1">
        <v>66</v>
      </c>
      <c r="R186" s="1">
        <v>37</v>
      </c>
      <c r="S186" s="1">
        <v>6</v>
      </c>
      <c r="T186" s="1">
        <v>100</v>
      </c>
      <c r="U186" s="1">
        <v>209</v>
      </c>
      <c r="W186" s="1">
        <v>5269</v>
      </c>
      <c r="X186" s="1">
        <v>0</v>
      </c>
      <c r="Y186" s="1">
        <v>406</v>
      </c>
      <c r="Z186" s="1">
        <v>0</v>
      </c>
      <c r="AA186" s="1">
        <v>0</v>
      </c>
      <c r="AB186" s="166"/>
      <c r="AC186" s="1" t="s">
        <v>128</v>
      </c>
      <c r="AL186" s="1" t="s">
        <v>437</v>
      </c>
      <c r="AN186" s="1" t="s">
        <v>437</v>
      </c>
      <c r="AO186" s="1" t="s">
        <v>437</v>
      </c>
      <c r="AP186" s="1" t="s">
        <v>437</v>
      </c>
      <c r="AQ186" s="1" t="s">
        <v>437</v>
      </c>
      <c r="AR186" s="1" t="s">
        <v>437</v>
      </c>
      <c r="AS186" s="1" t="s">
        <v>437</v>
      </c>
      <c r="AT186" s="1" t="s">
        <v>437</v>
      </c>
      <c r="AU186" s="1" t="s">
        <v>437</v>
      </c>
      <c r="AV186" s="168">
        <v>44946</v>
      </c>
      <c r="AW186" s="1">
        <f t="shared" ca="1" si="10"/>
        <v>2</v>
      </c>
      <c r="AX186" s="1" t="s">
        <v>445</v>
      </c>
      <c r="AY186" s="1">
        <v>0</v>
      </c>
      <c r="BA186" s="184"/>
      <c r="BB186" s="1" t="s">
        <v>34</v>
      </c>
      <c r="BK186" s="167"/>
      <c r="BU186" s="167"/>
      <c r="CE186" s="167"/>
      <c r="CI186" s="15" t="s">
        <v>257</v>
      </c>
    </row>
    <row r="187" spans="1:87" hidden="1">
      <c r="A187" s="4">
        <v>186</v>
      </c>
      <c r="B187" s="171">
        <v>29051</v>
      </c>
      <c r="C187" s="188" t="s">
        <v>247</v>
      </c>
      <c r="D187" s="170" t="s">
        <v>170</v>
      </c>
      <c r="E187" s="1">
        <f t="shared" ca="1" si="8"/>
        <v>46</v>
      </c>
      <c r="F187" s="1">
        <f t="shared" si="11"/>
        <v>40</v>
      </c>
      <c r="G187" s="1" t="s">
        <v>8</v>
      </c>
      <c r="H187" s="1" t="s">
        <v>12</v>
      </c>
      <c r="I187" s="1" t="s">
        <v>12</v>
      </c>
      <c r="J187" s="1">
        <v>170</v>
      </c>
      <c r="K187" s="1">
        <v>95</v>
      </c>
      <c r="M187" s="1">
        <v>0</v>
      </c>
      <c r="N187" s="1">
        <v>0</v>
      </c>
      <c r="O187" s="1">
        <v>0</v>
      </c>
      <c r="P187" s="1">
        <v>27</v>
      </c>
      <c r="Q187" s="1">
        <v>19</v>
      </c>
      <c r="R187" s="1">
        <v>38</v>
      </c>
      <c r="S187" s="1">
        <v>9</v>
      </c>
      <c r="T187" s="1">
        <v>100</v>
      </c>
      <c r="U187" s="1">
        <v>200</v>
      </c>
      <c r="W187" s="1">
        <v>1.24</v>
      </c>
      <c r="X187" s="1">
        <v>0</v>
      </c>
      <c r="Y187" s="1">
        <v>34</v>
      </c>
      <c r="Z187" s="1">
        <v>0</v>
      </c>
      <c r="AA187" s="1">
        <v>0</v>
      </c>
      <c r="AB187" s="166"/>
      <c r="AC187" s="1" t="s">
        <v>91</v>
      </c>
      <c r="AF187" s="167"/>
      <c r="AG187" s="166"/>
      <c r="AK187" s="167"/>
      <c r="AL187" s="1" t="s">
        <v>437</v>
      </c>
      <c r="AN187" s="1" t="s">
        <v>437</v>
      </c>
      <c r="AO187" s="1" t="s">
        <v>437</v>
      </c>
      <c r="AP187" s="1" t="s">
        <v>437</v>
      </c>
      <c r="AQ187" s="1" t="s">
        <v>437</v>
      </c>
      <c r="AR187" s="1" t="s">
        <v>437</v>
      </c>
      <c r="AS187" s="1" t="s">
        <v>437</v>
      </c>
      <c r="AT187" s="1" t="s">
        <v>437</v>
      </c>
      <c r="AU187" s="1" t="s">
        <v>437</v>
      </c>
      <c r="AV187" s="168">
        <v>43997</v>
      </c>
      <c r="AW187" s="1">
        <f t="shared" ca="1" si="10"/>
        <v>5</v>
      </c>
      <c r="AX187" s="1" t="s">
        <v>445</v>
      </c>
      <c r="AY187" s="1">
        <v>0</v>
      </c>
      <c r="BA187" s="184" t="s">
        <v>34</v>
      </c>
      <c r="BB187" s="1" t="s">
        <v>34</v>
      </c>
      <c r="BK187" s="167"/>
      <c r="BU187" s="167"/>
      <c r="CE187" s="167"/>
      <c r="CI187" s="15" t="s">
        <v>257</v>
      </c>
    </row>
    <row r="188" spans="1:87" hidden="1">
      <c r="A188" s="4">
        <v>187</v>
      </c>
      <c r="B188" s="171">
        <v>29670</v>
      </c>
      <c r="C188" s="188" t="s">
        <v>247</v>
      </c>
      <c r="D188" s="170" t="s">
        <v>170</v>
      </c>
      <c r="E188" s="1">
        <f t="shared" ca="1" si="8"/>
        <v>44</v>
      </c>
      <c r="F188" s="1">
        <f t="shared" si="11"/>
        <v>37</v>
      </c>
      <c r="G188" s="1" t="s">
        <v>419</v>
      </c>
      <c r="H188" s="1" t="s">
        <v>12</v>
      </c>
      <c r="I188" s="1" t="s">
        <v>12</v>
      </c>
      <c r="P188" s="1">
        <v>35</v>
      </c>
      <c r="Q188" s="1">
        <v>62</v>
      </c>
      <c r="R188" s="1">
        <v>41</v>
      </c>
      <c r="S188" s="1">
        <v>7</v>
      </c>
      <c r="U188" s="1">
        <v>250</v>
      </c>
      <c r="AB188" s="166"/>
      <c r="AF188" s="167"/>
      <c r="AG188" s="166"/>
      <c r="AK188" s="167"/>
      <c r="AV188" s="168">
        <v>43416</v>
      </c>
      <c r="AW188" s="1">
        <f t="shared" ca="1" si="10"/>
        <v>6</v>
      </c>
      <c r="AX188" s="1" t="s">
        <v>445</v>
      </c>
      <c r="BA188" s="184" t="s">
        <v>34</v>
      </c>
      <c r="BB188" s="1" t="s">
        <v>34</v>
      </c>
      <c r="BK188" s="167"/>
      <c r="BU188" s="167"/>
      <c r="CE188" s="167"/>
      <c r="CF188" s="1" t="s">
        <v>486</v>
      </c>
      <c r="CG188" s="1">
        <v>1</v>
      </c>
      <c r="CI188" s="15" t="s">
        <v>267</v>
      </c>
    </row>
    <row r="189" spans="1:87" hidden="1">
      <c r="A189" s="4">
        <v>188</v>
      </c>
      <c r="B189" s="171">
        <v>22004</v>
      </c>
      <c r="C189" s="188" t="s">
        <v>247</v>
      </c>
      <c r="D189" s="170" t="s">
        <v>418</v>
      </c>
      <c r="E189" s="1">
        <f t="shared" ca="1" si="8"/>
        <v>65</v>
      </c>
      <c r="F189" s="1">
        <f t="shared" si="11"/>
        <v>36</v>
      </c>
      <c r="G189" s="1" t="s">
        <v>5</v>
      </c>
      <c r="H189" s="1" t="s">
        <v>12</v>
      </c>
      <c r="I189" s="1" t="s">
        <v>12</v>
      </c>
      <c r="J189" s="1">
        <v>172</v>
      </c>
      <c r="K189" s="1">
        <v>60</v>
      </c>
      <c r="M189" s="1">
        <v>0</v>
      </c>
      <c r="N189" s="1">
        <v>0</v>
      </c>
      <c r="O189" s="1">
        <v>0</v>
      </c>
      <c r="P189" s="1">
        <v>150</v>
      </c>
      <c r="Q189" s="1">
        <v>100</v>
      </c>
      <c r="R189" s="1">
        <v>86</v>
      </c>
      <c r="S189" s="1">
        <v>9</v>
      </c>
      <c r="T189" s="1">
        <v>100</v>
      </c>
      <c r="U189" s="1">
        <v>110</v>
      </c>
      <c r="W189" s="1">
        <v>43.6</v>
      </c>
      <c r="X189" s="1">
        <v>0</v>
      </c>
      <c r="Z189" s="1">
        <v>1</v>
      </c>
      <c r="AA189" s="1">
        <v>1</v>
      </c>
      <c r="AB189" s="166" t="s">
        <v>106</v>
      </c>
      <c r="AF189" s="167"/>
      <c r="AG189" s="166"/>
      <c r="AH189" s="1" t="s">
        <v>106</v>
      </c>
      <c r="AK189" s="167"/>
      <c r="AL189" s="1" t="s">
        <v>437</v>
      </c>
      <c r="AN189" s="1" t="s">
        <v>437</v>
      </c>
      <c r="AO189" s="1" t="s">
        <v>437</v>
      </c>
      <c r="AP189" s="1" t="s">
        <v>437</v>
      </c>
      <c r="AQ189" s="1" t="s">
        <v>437</v>
      </c>
      <c r="AR189" s="1" t="s">
        <v>437</v>
      </c>
      <c r="AS189" s="1" t="s">
        <v>437</v>
      </c>
      <c r="AT189" s="1" t="s">
        <v>437</v>
      </c>
      <c r="AU189" s="1" t="s">
        <v>437</v>
      </c>
      <c r="AV189" s="168">
        <v>35323</v>
      </c>
      <c r="AW189" s="1">
        <f t="shared" ca="1" si="10"/>
        <v>28</v>
      </c>
      <c r="AX189" s="1" t="s">
        <v>444</v>
      </c>
      <c r="AY189" s="1">
        <v>0</v>
      </c>
      <c r="BA189" s="184" t="s">
        <v>356</v>
      </c>
      <c r="BB189" s="1" t="s">
        <v>34</v>
      </c>
      <c r="BK189" s="167"/>
      <c r="BU189" s="167"/>
      <c r="CE189" s="167"/>
      <c r="CI189" s="15" t="s">
        <v>257</v>
      </c>
    </row>
    <row r="190" spans="1:87" hidden="1">
      <c r="A190" s="4">
        <v>189</v>
      </c>
      <c r="B190" s="171">
        <v>27169</v>
      </c>
      <c r="C190" s="188" t="s">
        <v>247</v>
      </c>
      <c r="D190" s="1" t="s">
        <v>170</v>
      </c>
      <c r="E190" s="1">
        <f t="shared" ca="1" si="8"/>
        <v>51</v>
      </c>
      <c r="F190" s="1">
        <f t="shared" si="11"/>
        <v>45</v>
      </c>
      <c r="G190" s="1" t="s">
        <v>8</v>
      </c>
      <c r="H190" s="1" t="s">
        <v>14</v>
      </c>
      <c r="I190" s="1" t="s">
        <v>12</v>
      </c>
      <c r="M190" s="1">
        <v>1</v>
      </c>
      <c r="N190" s="1">
        <v>1</v>
      </c>
      <c r="O190" s="1">
        <v>0</v>
      </c>
      <c r="P190" s="1">
        <v>26</v>
      </c>
      <c r="Q190" s="1">
        <v>33</v>
      </c>
      <c r="R190" s="1">
        <v>29</v>
      </c>
      <c r="S190" s="1">
        <v>4</v>
      </c>
      <c r="T190" s="1">
        <v>94</v>
      </c>
      <c r="U190" s="1">
        <v>359</v>
      </c>
      <c r="V190" s="1">
        <v>43</v>
      </c>
      <c r="W190" s="1">
        <v>5274</v>
      </c>
      <c r="X190" s="1">
        <v>0</v>
      </c>
      <c r="Y190" s="1">
        <v>209</v>
      </c>
      <c r="Z190" s="1">
        <v>0</v>
      </c>
      <c r="AA190" s="1">
        <v>0</v>
      </c>
      <c r="AB190" s="166"/>
      <c r="AC190" s="1" t="s">
        <v>110</v>
      </c>
      <c r="AF190" s="167"/>
      <c r="AG190" s="166"/>
      <c r="AH190" s="1" t="s">
        <v>91</v>
      </c>
      <c r="AK190" s="167"/>
      <c r="AL190" s="1" t="s">
        <v>437</v>
      </c>
      <c r="AN190" s="1" t="s">
        <v>437</v>
      </c>
      <c r="AO190" s="1" t="s">
        <v>437</v>
      </c>
      <c r="AP190" s="1" t="s">
        <v>437</v>
      </c>
      <c r="AQ190" s="1" t="s">
        <v>437</v>
      </c>
      <c r="AR190" s="1" t="s">
        <v>437</v>
      </c>
      <c r="AS190" s="1" t="s">
        <v>437</v>
      </c>
      <c r="AT190" s="1" t="s">
        <v>437</v>
      </c>
      <c r="AU190" s="1" t="s">
        <v>437</v>
      </c>
      <c r="AV190" s="168">
        <v>43690</v>
      </c>
      <c r="AW190" s="1">
        <f t="shared" ca="1" si="10"/>
        <v>5</v>
      </c>
      <c r="AX190" s="1" t="s">
        <v>445</v>
      </c>
      <c r="AY190" s="1">
        <v>0</v>
      </c>
      <c r="BA190" s="184" t="s">
        <v>34</v>
      </c>
      <c r="BB190" s="1" t="s">
        <v>34</v>
      </c>
      <c r="BK190" s="167"/>
      <c r="BU190" s="167"/>
      <c r="CE190" s="167"/>
      <c r="CI190" s="15" t="s">
        <v>257</v>
      </c>
    </row>
    <row r="191" spans="1:87" hidden="1">
      <c r="A191" s="4">
        <v>190</v>
      </c>
      <c r="B191" s="171">
        <v>33254</v>
      </c>
      <c r="C191" s="188" t="s">
        <v>247</v>
      </c>
      <c r="D191" s="1" t="s">
        <v>170</v>
      </c>
      <c r="E191" s="1">
        <f t="shared" ca="1" si="8"/>
        <v>34</v>
      </c>
      <c r="F191" s="1">
        <f t="shared" si="11"/>
        <v>31</v>
      </c>
      <c r="G191" s="1" t="s">
        <v>8</v>
      </c>
      <c r="H191" s="1" t="s">
        <v>12</v>
      </c>
      <c r="J191" s="1">
        <v>154</v>
      </c>
      <c r="K191" s="1">
        <v>79</v>
      </c>
      <c r="M191" s="1">
        <v>0</v>
      </c>
      <c r="N191" s="1">
        <v>0</v>
      </c>
      <c r="O191" s="1">
        <v>0</v>
      </c>
      <c r="P191" s="1">
        <v>50</v>
      </c>
      <c r="Q191" s="1">
        <v>25</v>
      </c>
      <c r="R191" s="1">
        <v>30</v>
      </c>
      <c r="S191" s="1">
        <v>4</v>
      </c>
      <c r="U191" s="1">
        <v>200</v>
      </c>
      <c r="X191" s="1">
        <v>1</v>
      </c>
      <c r="Z191" s="1">
        <v>0</v>
      </c>
      <c r="AA191" s="1">
        <v>0</v>
      </c>
      <c r="AB191" s="166"/>
      <c r="AC191" s="1" t="s">
        <v>110</v>
      </c>
      <c r="AF191" s="167"/>
      <c r="AG191" s="166"/>
      <c r="AH191" s="1" t="s">
        <v>91</v>
      </c>
      <c r="AK191" s="167"/>
      <c r="AL191" s="1" t="s">
        <v>437</v>
      </c>
      <c r="AN191" s="1" t="s">
        <v>437</v>
      </c>
      <c r="AO191" s="1" t="s">
        <v>437</v>
      </c>
      <c r="AP191" s="1" t="s">
        <v>437</v>
      </c>
      <c r="AQ191" s="1" t="s">
        <v>437</v>
      </c>
      <c r="AR191" s="1" t="s">
        <v>437</v>
      </c>
      <c r="AS191" s="1" t="s">
        <v>437</v>
      </c>
      <c r="AT191" s="1" t="s">
        <v>437</v>
      </c>
      <c r="AU191" s="1" t="s">
        <v>437</v>
      </c>
      <c r="AV191" s="168">
        <v>44880</v>
      </c>
      <c r="AW191" s="1">
        <f t="shared" ca="1" si="10"/>
        <v>2</v>
      </c>
      <c r="AX191" s="1" t="s">
        <v>445</v>
      </c>
      <c r="AY191" s="1">
        <v>0</v>
      </c>
      <c r="BA191" s="184" t="s">
        <v>356</v>
      </c>
      <c r="BB191" s="1" t="s">
        <v>34</v>
      </c>
      <c r="BK191" s="167"/>
      <c r="BU191" s="167"/>
      <c r="CE191" s="167"/>
      <c r="CI191" s="15" t="s">
        <v>257</v>
      </c>
    </row>
    <row r="192" spans="1:87" hidden="1">
      <c r="A192" s="4">
        <v>191</v>
      </c>
      <c r="B192" s="171">
        <v>29902</v>
      </c>
      <c r="C192" s="188" t="s">
        <v>247</v>
      </c>
      <c r="D192" s="1" t="s">
        <v>418</v>
      </c>
      <c r="E192" s="1">
        <f t="shared" ca="1" si="8"/>
        <v>43</v>
      </c>
      <c r="F192" s="1">
        <f t="shared" si="11"/>
        <v>34</v>
      </c>
      <c r="G192" s="1" t="s">
        <v>8</v>
      </c>
      <c r="H192" s="1" t="s">
        <v>12</v>
      </c>
      <c r="I192" s="1" t="s">
        <v>12</v>
      </c>
      <c r="J192" s="1">
        <v>175</v>
      </c>
      <c r="K192" s="1">
        <v>85</v>
      </c>
      <c r="M192" s="1">
        <v>0</v>
      </c>
      <c r="N192" s="1">
        <v>0</v>
      </c>
      <c r="O192" s="1">
        <v>0</v>
      </c>
      <c r="P192" s="1">
        <v>43</v>
      </c>
      <c r="Q192" s="1">
        <v>58</v>
      </c>
      <c r="R192" s="1">
        <v>26</v>
      </c>
      <c r="S192" s="1">
        <v>9</v>
      </c>
      <c r="T192" s="1">
        <v>89</v>
      </c>
      <c r="U192" s="1">
        <v>146</v>
      </c>
      <c r="W192" s="1">
        <v>3880</v>
      </c>
      <c r="X192" s="1">
        <v>0</v>
      </c>
      <c r="Y192" s="1">
        <v>41</v>
      </c>
      <c r="Z192" s="1">
        <v>0</v>
      </c>
      <c r="AA192" s="1">
        <v>0</v>
      </c>
      <c r="AC192" s="1" t="s">
        <v>110</v>
      </c>
      <c r="AF192" s="167"/>
      <c r="AG192" s="166"/>
      <c r="AH192" s="1" t="s">
        <v>110</v>
      </c>
      <c r="AK192" s="167"/>
      <c r="AL192" s="1" t="s">
        <v>437</v>
      </c>
      <c r="AN192" s="1" t="s">
        <v>437</v>
      </c>
      <c r="AO192" s="1" t="s">
        <v>437</v>
      </c>
      <c r="AP192" s="1" t="s">
        <v>437</v>
      </c>
      <c r="AQ192" s="1" t="s">
        <v>437</v>
      </c>
      <c r="AR192" s="1" t="s">
        <v>437</v>
      </c>
      <c r="AS192" s="1" t="s">
        <v>437</v>
      </c>
      <c r="AT192" s="1" t="s">
        <v>437</v>
      </c>
      <c r="AU192" s="1" t="s">
        <v>437</v>
      </c>
      <c r="AV192" s="168">
        <v>42642</v>
      </c>
      <c r="AW192" s="1">
        <f t="shared" ca="1" si="10"/>
        <v>8</v>
      </c>
      <c r="AX192" s="1" t="s">
        <v>445</v>
      </c>
      <c r="AY192" s="1">
        <v>3</v>
      </c>
      <c r="BA192" s="184" t="s">
        <v>34</v>
      </c>
      <c r="BB192" s="1" t="s">
        <v>34</v>
      </c>
      <c r="BK192" s="167"/>
      <c r="BU192" s="167"/>
      <c r="CE192" s="167"/>
      <c r="CI192" s="15" t="s">
        <v>270</v>
      </c>
    </row>
    <row r="193" spans="1:87" hidden="1">
      <c r="A193" s="4">
        <v>192</v>
      </c>
      <c r="B193" s="171">
        <v>31680</v>
      </c>
      <c r="C193" s="188" t="s">
        <v>247</v>
      </c>
      <c r="D193" s="1" t="s">
        <v>170</v>
      </c>
      <c r="E193" s="1">
        <f t="shared" ca="1" si="8"/>
        <v>38</v>
      </c>
      <c r="F193" s="1">
        <f t="shared" si="11"/>
        <v>35</v>
      </c>
      <c r="G193" s="1" t="s">
        <v>8</v>
      </c>
      <c r="H193" s="1" t="s">
        <v>12</v>
      </c>
      <c r="I193" s="1" t="s">
        <v>12</v>
      </c>
      <c r="J193" s="1">
        <v>168</v>
      </c>
      <c r="K193" s="1">
        <v>140</v>
      </c>
      <c r="M193" s="1">
        <v>0</v>
      </c>
      <c r="N193" s="1">
        <v>0</v>
      </c>
      <c r="O193" s="1">
        <v>0</v>
      </c>
      <c r="P193" s="1">
        <v>24</v>
      </c>
      <c r="Q193" s="1">
        <v>21</v>
      </c>
      <c r="R193" s="1">
        <v>51</v>
      </c>
      <c r="S193" s="1">
        <v>9</v>
      </c>
      <c r="T193" s="1">
        <v>85</v>
      </c>
      <c r="U193" s="1">
        <v>182</v>
      </c>
      <c r="W193" s="1">
        <v>1.7</v>
      </c>
      <c r="X193" s="1">
        <v>1</v>
      </c>
      <c r="Y193" s="1">
        <v>0</v>
      </c>
      <c r="Z193" s="1">
        <v>0</v>
      </c>
      <c r="AA193" s="1">
        <v>0</v>
      </c>
      <c r="AB193" s="166"/>
      <c r="AF193" s="167"/>
      <c r="AG193" s="166"/>
      <c r="AK193" s="167"/>
      <c r="AL193" s="1" t="s">
        <v>437</v>
      </c>
      <c r="AN193" s="1" t="s">
        <v>437</v>
      </c>
      <c r="AO193" s="1" t="s">
        <v>437</v>
      </c>
      <c r="AP193" s="1" t="s">
        <v>437</v>
      </c>
      <c r="AQ193" s="1" t="s">
        <v>437</v>
      </c>
      <c r="AR193" s="1" t="s">
        <v>437</v>
      </c>
      <c r="AS193" s="1" t="s">
        <v>437</v>
      </c>
      <c r="AT193" s="1" t="s">
        <v>437</v>
      </c>
      <c r="AU193" s="1" t="s">
        <v>437</v>
      </c>
      <c r="AV193" s="168">
        <v>44727</v>
      </c>
      <c r="AW193" s="1">
        <f t="shared" ca="1" si="10"/>
        <v>3</v>
      </c>
      <c r="AX193" s="1" t="s">
        <v>445</v>
      </c>
      <c r="AY193" s="1">
        <v>0</v>
      </c>
      <c r="BA193" s="184" t="s">
        <v>34</v>
      </c>
      <c r="BB193" s="1" t="s">
        <v>34</v>
      </c>
      <c r="BK193" s="167"/>
      <c r="CE193" s="167"/>
      <c r="CI193" s="15" t="s">
        <v>257</v>
      </c>
    </row>
    <row r="194" spans="1:87" hidden="1">
      <c r="A194" s="4">
        <v>193</v>
      </c>
      <c r="B194" s="171">
        <v>26906</v>
      </c>
      <c r="C194" s="188" t="s">
        <v>247</v>
      </c>
      <c r="D194" s="1" t="s">
        <v>418</v>
      </c>
      <c r="E194" s="1">
        <f t="shared" ref="E194:E204" ca="1" si="12">DATEDIF(B194,TODAY(),"Y")</f>
        <v>51</v>
      </c>
      <c r="F194" s="1">
        <f t="shared" ref="F194:F204" si="13">DATEDIF(B194,AV194,"Y")</f>
        <v>45</v>
      </c>
      <c r="G194" s="1" t="s">
        <v>419</v>
      </c>
      <c r="H194" s="1" t="s">
        <v>12</v>
      </c>
      <c r="I194" s="1" t="s">
        <v>12</v>
      </c>
      <c r="M194" s="1">
        <v>0</v>
      </c>
      <c r="N194" s="1">
        <v>0</v>
      </c>
      <c r="O194" s="1">
        <v>0</v>
      </c>
      <c r="P194" s="1">
        <v>28</v>
      </c>
      <c r="Q194" s="1">
        <v>25</v>
      </c>
      <c r="R194" s="1">
        <v>64</v>
      </c>
      <c r="S194" s="1">
        <v>6</v>
      </c>
      <c r="T194" s="1">
        <v>80</v>
      </c>
      <c r="U194" s="1">
        <v>124</v>
      </c>
      <c r="W194" s="1">
        <v>302</v>
      </c>
      <c r="Z194" s="1">
        <v>1</v>
      </c>
      <c r="AA194" s="1">
        <v>0</v>
      </c>
      <c r="AF194" s="167"/>
      <c r="AK194" s="167"/>
      <c r="AL194" s="1" t="s">
        <v>437</v>
      </c>
      <c r="AN194" s="1" t="s">
        <v>437</v>
      </c>
      <c r="AO194" s="1" t="s">
        <v>437</v>
      </c>
      <c r="AP194" s="1" t="s">
        <v>437</v>
      </c>
      <c r="AQ194" s="1" t="s">
        <v>437</v>
      </c>
      <c r="AR194" s="1" t="s">
        <v>437</v>
      </c>
      <c r="AS194" s="1" t="s">
        <v>437</v>
      </c>
      <c r="AT194" s="1" t="s">
        <v>437</v>
      </c>
      <c r="AU194" s="1" t="s">
        <v>437</v>
      </c>
      <c r="AV194" s="168">
        <v>43530</v>
      </c>
      <c r="AW194" s="1">
        <f t="shared" ca="1" si="10"/>
        <v>6</v>
      </c>
      <c r="AX194" s="1" t="s">
        <v>444</v>
      </c>
      <c r="BA194" s="184" t="s">
        <v>34</v>
      </c>
      <c r="BB194" s="1" t="s">
        <v>34</v>
      </c>
      <c r="BK194" s="167"/>
      <c r="BU194" s="167"/>
      <c r="CE194" s="167"/>
      <c r="CG194" s="1">
        <v>1</v>
      </c>
      <c r="CI194" s="15" t="s">
        <v>267</v>
      </c>
    </row>
    <row r="195" spans="1:87" hidden="1">
      <c r="A195" s="4">
        <v>194</v>
      </c>
      <c r="B195" s="171">
        <v>24555</v>
      </c>
      <c r="C195" s="188" t="s">
        <v>247</v>
      </c>
      <c r="D195" s="1" t="s">
        <v>418</v>
      </c>
      <c r="E195" s="1">
        <f t="shared" ca="1" si="12"/>
        <v>58</v>
      </c>
      <c r="F195" s="1">
        <f t="shared" si="13"/>
        <v>49</v>
      </c>
      <c r="G195" s="1" t="s">
        <v>6</v>
      </c>
      <c r="H195" s="1" t="s">
        <v>14</v>
      </c>
      <c r="I195" s="1" t="s">
        <v>12</v>
      </c>
      <c r="K195" s="1">
        <v>72</v>
      </c>
      <c r="M195" s="1">
        <v>0</v>
      </c>
      <c r="N195" s="1">
        <v>0</v>
      </c>
      <c r="O195" s="1">
        <v>0</v>
      </c>
      <c r="P195" s="1">
        <v>83</v>
      </c>
      <c r="Q195" s="1">
        <v>65</v>
      </c>
      <c r="R195" s="1">
        <v>34</v>
      </c>
      <c r="S195" s="1">
        <v>12</v>
      </c>
      <c r="T195" s="1">
        <v>52</v>
      </c>
      <c r="U195" s="1">
        <v>47</v>
      </c>
      <c r="W195" s="1">
        <v>4822</v>
      </c>
      <c r="X195" s="1">
        <v>0</v>
      </c>
      <c r="Y195" s="1">
        <v>34</v>
      </c>
      <c r="Z195" s="1">
        <v>0</v>
      </c>
      <c r="AA195" s="1">
        <v>0</v>
      </c>
      <c r="AC195" s="1" t="s">
        <v>83</v>
      </c>
      <c r="AF195" s="167"/>
      <c r="AK195" s="167"/>
      <c r="AL195" s="1" t="s">
        <v>438</v>
      </c>
      <c r="AM195" s="1" t="s">
        <v>84</v>
      </c>
      <c r="AN195" s="1" t="s">
        <v>437</v>
      </c>
      <c r="AO195" s="1" t="s">
        <v>437</v>
      </c>
      <c r="AP195" s="1" t="s">
        <v>437</v>
      </c>
      <c r="AQ195" s="1" t="s">
        <v>437</v>
      </c>
      <c r="AR195" s="1" t="s">
        <v>437</v>
      </c>
      <c r="AS195" s="1" t="s">
        <v>437</v>
      </c>
      <c r="AT195" s="1" t="s">
        <v>437</v>
      </c>
      <c r="AU195" s="1" t="s">
        <v>437</v>
      </c>
      <c r="AV195" s="168">
        <v>42762</v>
      </c>
      <c r="AW195" s="1">
        <f t="shared" ref="AW195:AW258" ca="1" si="14">DATEDIF(AV195,TODAY(),"Y")</f>
        <v>8</v>
      </c>
      <c r="AX195" s="1" t="s">
        <v>445</v>
      </c>
      <c r="BA195" s="184" t="s">
        <v>34</v>
      </c>
      <c r="BB195" s="1" t="s">
        <v>34</v>
      </c>
      <c r="BK195" s="167"/>
      <c r="BU195" s="167"/>
      <c r="CE195" s="167"/>
      <c r="CG195" s="1">
        <v>1</v>
      </c>
      <c r="CI195" s="15" t="s">
        <v>271</v>
      </c>
    </row>
    <row r="196" spans="1:87" hidden="1">
      <c r="A196" s="4">
        <v>195</v>
      </c>
      <c r="B196" s="171">
        <v>38421</v>
      </c>
      <c r="C196" s="188" t="s">
        <v>247</v>
      </c>
      <c r="D196" s="1" t="s">
        <v>418</v>
      </c>
      <c r="E196" s="1">
        <f t="shared" ca="1" si="12"/>
        <v>20</v>
      </c>
      <c r="F196" s="1">
        <f t="shared" si="13"/>
        <v>16</v>
      </c>
      <c r="G196" s="1" t="s">
        <v>8</v>
      </c>
      <c r="H196" s="1" t="s">
        <v>12</v>
      </c>
      <c r="I196" s="1" t="s">
        <v>12</v>
      </c>
      <c r="J196" s="1">
        <v>175</v>
      </c>
      <c r="K196" s="1">
        <v>85</v>
      </c>
      <c r="M196" s="1">
        <v>0</v>
      </c>
      <c r="N196" s="1">
        <v>0</v>
      </c>
      <c r="O196" s="1">
        <v>0</v>
      </c>
      <c r="P196" s="1">
        <v>31</v>
      </c>
      <c r="Q196" s="1">
        <v>29</v>
      </c>
      <c r="R196" s="1">
        <v>48</v>
      </c>
      <c r="S196" s="1">
        <v>4</v>
      </c>
      <c r="T196" s="1">
        <v>100</v>
      </c>
      <c r="U196" s="1">
        <v>256</v>
      </c>
      <c r="W196" s="1">
        <v>4940</v>
      </c>
      <c r="X196" s="1">
        <v>1</v>
      </c>
      <c r="Y196" s="1">
        <v>2300</v>
      </c>
      <c r="Z196" s="1">
        <v>0</v>
      </c>
      <c r="AA196" s="1">
        <v>0</v>
      </c>
      <c r="AF196" s="167"/>
      <c r="AK196" s="167"/>
      <c r="AL196" s="1" t="s">
        <v>437</v>
      </c>
      <c r="AN196" s="1" t="s">
        <v>437</v>
      </c>
      <c r="AO196" s="1" t="s">
        <v>437</v>
      </c>
      <c r="AP196" s="1" t="s">
        <v>437</v>
      </c>
      <c r="AQ196" s="1" t="s">
        <v>437</v>
      </c>
      <c r="AR196" s="1" t="s">
        <v>437</v>
      </c>
      <c r="AS196" s="1" t="s">
        <v>437</v>
      </c>
      <c r="AT196" s="1" t="s">
        <v>437</v>
      </c>
      <c r="AU196" s="1" t="s">
        <v>437</v>
      </c>
      <c r="AV196" s="168">
        <v>44585</v>
      </c>
      <c r="AW196" s="1">
        <f t="shared" ca="1" si="14"/>
        <v>3</v>
      </c>
      <c r="AX196" s="1" t="s">
        <v>445</v>
      </c>
      <c r="AY196" s="1">
        <v>0</v>
      </c>
      <c r="BA196" s="184" t="s">
        <v>34</v>
      </c>
      <c r="BB196" s="1" t="s">
        <v>34</v>
      </c>
      <c r="BK196" s="167"/>
      <c r="BU196" s="167"/>
      <c r="CG196" s="1">
        <v>1</v>
      </c>
      <c r="CI196" s="15" t="s">
        <v>260</v>
      </c>
    </row>
    <row r="197" spans="1:87" hidden="1">
      <c r="A197" s="4">
        <v>196</v>
      </c>
      <c r="B197" s="171">
        <v>33715</v>
      </c>
      <c r="C197" s="188" t="s">
        <v>247</v>
      </c>
      <c r="D197" s="1" t="s">
        <v>170</v>
      </c>
      <c r="E197" s="1">
        <f t="shared" ca="1" si="12"/>
        <v>33</v>
      </c>
      <c r="F197" s="1">
        <f t="shared" si="13"/>
        <v>23</v>
      </c>
      <c r="G197" s="1" t="s">
        <v>8</v>
      </c>
      <c r="H197" s="1" t="s">
        <v>12</v>
      </c>
      <c r="I197" s="1" t="s">
        <v>12</v>
      </c>
      <c r="J197" s="1">
        <v>159</v>
      </c>
      <c r="K197" s="1">
        <v>52</v>
      </c>
      <c r="M197" s="1">
        <v>0</v>
      </c>
      <c r="N197" s="1">
        <v>0</v>
      </c>
      <c r="O197" s="1">
        <v>0</v>
      </c>
      <c r="P197" s="1">
        <v>41</v>
      </c>
      <c r="Q197" s="1">
        <v>83</v>
      </c>
      <c r="R197" s="1">
        <v>66</v>
      </c>
      <c r="S197" s="1">
        <v>14</v>
      </c>
      <c r="T197" s="1">
        <v>90</v>
      </c>
      <c r="U197" s="1">
        <v>191</v>
      </c>
      <c r="V197" s="1">
        <v>43</v>
      </c>
      <c r="W197" s="1">
        <v>4416</v>
      </c>
      <c r="X197" s="1">
        <v>0</v>
      </c>
      <c r="Y197" s="1">
        <v>354</v>
      </c>
      <c r="Z197" s="1">
        <v>0</v>
      </c>
      <c r="AA197" s="1">
        <v>0</v>
      </c>
      <c r="AF197" s="167"/>
      <c r="AK197" s="167"/>
      <c r="AL197" s="1" t="s">
        <v>437</v>
      </c>
      <c r="AN197" s="1" t="s">
        <v>437</v>
      </c>
      <c r="AO197" s="1" t="s">
        <v>437</v>
      </c>
      <c r="AP197" s="1" t="s">
        <v>437</v>
      </c>
      <c r="AQ197" s="1" t="s">
        <v>437</v>
      </c>
      <c r="AR197" s="1" t="s">
        <v>437</v>
      </c>
      <c r="AS197" s="1" t="s">
        <v>437</v>
      </c>
      <c r="AT197" s="1" t="s">
        <v>437</v>
      </c>
      <c r="AU197" s="1" t="s">
        <v>437</v>
      </c>
      <c r="AV197" s="168">
        <v>42170</v>
      </c>
      <c r="AW197" s="1">
        <f t="shared" ca="1" si="14"/>
        <v>10</v>
      </c>
      <c r="AX197" s="1" t="s">
        <v>445</v>
      </c>
      <c r="AY197" s="1">
        <v>0</v>
      </c>
      <c r="BA197" s="184" t="s">
        <v>34</v>
      </c>
      <c r="BB197" s="1" t="s">
        <v>34</v>
      </c>
      <c r="BK197" s="167"/>
      <c r="BU197" s="167"/>
      <c r="CE197" s="167"/>
    </row>
    <row r="198" spans="1:87" hidden="1">
      <c r="A198" s="4">
        <v>197</v>
      </c>
      <c r="B198" s="171">
        <v>27202</v>
      </c>
      <c r="C198" s="188" t="s">
        <v>247</v>
      </c>
      <c r="D198" s="1" t="s">
        <v>418</v>
      </c>
      <c r="E198" s="1">
        <f t="shared" ca="1" si="12"/>
        <v>51</v>
      </c>
      <c r="F198" s="1">
        <f t="shared" si="13"/>
        <v>31</v>
      </c>
      <c r="G198" s="1" t="s">
        <v>8</v>
      </c>
      <c r="H198" s="1" t="s">
        <v>14</v>
      </c>
      <c r="I198" s="1" t="s">
        <v>12</v>
      </c>
      <c r="J198" s="1">
        <v>174</v>
      </c>
      <c r="K198" s="1">
        <v>71</v>
      </c>
      <c r="M198" s="1">
        <v>0</v>
      </c>
      <c r="N198" s="1">
        <v>0</v>
      </c>
      <c r="O198" s="1">
        <v>0</v>
      </c>
      <c r="P198" s="1">
        <v>43</v>
      </c>
      <c r="Q198" s="1">
        <v>47</v>
      </c>
      <c r="R198" s="1">
        <v>94</v>
      </c>
      <c r="S198" s="1">
        <v>71</v>
      </c>
      <c r="T198" s="1">
        <v>67</v>
      </c>
      <c r="U198" s="1">
        <v>73</v>
      </c>
      <c r="V198" s="1">
        <v>48</v>
      </c>
      <c r="X198" s="1">
        <v>1</v>
      </c>
      <c r="Z198" s="1">
        <v>0</v>
      </c>
      <c r="AA198" s="1">
        <v>1</v>
      </c>
      <c r="AC198" s="1" t="s">
        <v>110</v>
      </c>
      <c r="AF198" s="167"/>
      <c r="AH198" s="1" t="s">
        <v>110</v>
      </c>
      <c r="AK198" s="167"/>
      <c r="AL198" s="1" t="s">
        <v>437</v>
      </c>
      <c r="AN198" s="1" t="s">
        <v>437</v>
      </c>
      <c r="AO198" s="1" t="s">
        <v>437</v>
      </c>
      <c r="AP198" s="1" t="s">
        <v>437</v>
      </c>
      <c r="AQ198" s="1" t="s">
        <v>437</v>
      </c>
      <c r="AR198" s="1" t="s">
        <v>437</v>
      </c>
      <c r="AS198" s="1" t="s">
        <v>437</v>
      </c>
      <c r="AT198" s="1" t="s">
        <v>437</v>
      </c>
      <c r="AU198" s="1" t="s">
        <v>437</v>
      </c>
      <c r="AV198" s="168">
        <v>38869</v>
      </c>
      <c r="AW198" s="1">
        <f t="shared" ca="1" si="14"/>
        <v>19</v>
      </c>
      <c r="AX198" s="1" t="s">
        <v>445</v>
      </c>
      <c r="AY198" s="1">
        <v>6.28</v>
      </c>
      <c r="BA198" s="184" t="s">
        <v>356</v>
      </c>
      <c r="BB198" s="1" t="s">
        <v>448</v>
      </c>
      <c r="BC198" s="1" t="s">
        <v>480</v>
      </c>
      <c r="BE198" s="1">
        <v>1</v>
      </c>
      <c r="BH198" s="1">
        <v>1</v>
      </c>
      <c r="BK198" s="167"/>
      <c r="BU198" s="167"/>
      <c r="CE198" s="167"/>
    </row>
    <row r="199" spans="1:87" hidden="1">
      <c r="A199" s="4">
        <v>198</v>
      </c>
      <c r="B199" s="171">
        <v>37784</v>
      </c>
      <c r="C199" s="188" t="s">
        <v>247</v>
      </c>
      <c r="D199" s="1" t="s">
        <v>418</v>
      </c>
      <c r="E199" s="1">
        <f t="shared" ca="1" si="12"/>
        <v>22</v>
      </c>
      <c r="F199" s="1">
        <f t="shared" si="13"/>
        <v>17</v>
      </c>
      <c r="G199" s="1" t="s">
        <v>8</v>
      </c>
      <c r="H199" s="1" t="s">
        <v>12</v>
      </c>
      <c r="I199" s="1" t="s">
        <v>12</v>
      </c>
      <c r="J199" s="1">
        <v>165</v>
      </c>
      <c r="K199" s="1">
        <v>79</v>
      </c>
      <c r="M199" s="1">
        <v>0</v>
      </c>
      <c r="N199" s="1">
        <v>0</v>
      </c>
      <c r="O199" s="1">
        <v>0</v>
      </c>
      <c r="P199" s="1">
        <v>29</v>
      </c>
      <c r="Q199" s="1">
        <v>47</v>
      </c>
      <c r="W199" s="1">
        <v>3115</v>
      </c>
      <c r="Y199" s="1">
        <v>0</v>
      </c>
      <c r="Z199" s="1">
        <v>0</v>
      </c>
      <c r="AA199" s="1">
        <v>0</v>
      </c>
      <c r="AF199" s="167"/>
      <c r="AK199" s="167"/>
      <c r="AL199" s="1" t="s">
        <v>437</v>
      </c>
      <c r="AN199" s="1" t="s">
        <v>437</v>
      </c>
      <c r="AO199" s="1" t="s">
        <v>437</v>
      </c>
      <c r="AP199" s="1" t="s">
        <v>437</v>
      </c>
      <c r="AQ199" s="1" t="s">
        <v>437</v>
      </c>
      <c r="AR199" s="1" t="s">
        <v>437</v>
      </c>
      <c r="AS199" s="1" t="s">
        <v>437</v>
      </c>
      <c r="AT199" s="1" t="s">
        <v>437</v>
      </c>
      <c r="AU199" s="1" t="s">
        <v>437</v>
      </c>
      <c r="AV199" s="168">
        <v>44238</v>
      </c>
      <c r="AW199" s="1">
        <f t="shared" ca="1" si="14"/>
        <v>4</v>
      </c>
      <c r="AX199" s="1" t="s">
        <v>445</v>
      </c>
      <c r="AY199" s="1">
        <v>0</v>
      </c>
      <c r="BA199" s="184" t="s">
        <v>34</v>
      </c>
      <c r="BB199" s="1" t="s">
        <v>34</v>
      </c>
      <c r="BK199" s="167"/>
      <c r="BU199" s="167"/>
      <c r="CE199" s="167"/>
    </row>
    <row r="200" spans="1:87" hidden="1">
      <c r="A200" s="4">
        <v>199</v>
      </c>
      <c r="B200" s="171">
        <v>33100</v>
      </c>
      <c r="C200" s="188" t="s">
        <v>247</v>
      </c>
      <c r="D200" s="1" t="s">
        <v>170</v>
      </c>
      <c r="E200" s="1">
        <f t="shared" ca="1" si="12"/>
        <v>34</v>
      </c>
      <c r="F200" s="1">
        <f t="shared" si="13"/>
        <v>29</v>
      </c>
      <c r="G200" s="1" t="s">
        <v>8</v>
      </c>
      <c r="H200" s="1" t="s">
        <v>12</v>
      </c>
      <c r="I200" s="1" t="s">
        <v>12</v>
      </c>
      <c r="J200" s="1">
        <v>166</v>
      </c>
      <c r="K200" s="1">
        <v>55</v>
      </c>
      <c r="M200" s="1">
        <v>0</v>
      </c>
      <c r="N200" s="1">
        <v>0</v>
      </c>
      <c r="O200" s="1">
        <v>0</v>
      </c>
      <c r="P200" s="1">
        <v>18</v>
      </c>
      <c r="Q200" s="1">
        <v>19</v>
      </c>
      <c r="Y200" s="1">
        <v>1780</v>
      </c>
      <c r="AF200" s="167"/>
      <c r="AK200" s="167"/>
      <c r="AV200" s="168">
        <v>43725</v>
      </c>
      <c r="AW200" s="1">
        <f t="shared" ca="1" si="14"/>
        <v>5</v>
      </c>
      <c r="AX200" s="1" t="s">
        <v>445</v>
      </c>
      <c r="BA200" s="184"/>
      <c r="BK200" s="167"/>
      <c r="BU200" s="167"/>
      <c r="CE200" s="167"/>
    </row>
    <row r="201" spans="1:87" hidden="1">
      <c r="A201" s="4">
        <v>200</v>
      </c>
      <c r="B201" s="171">
        <v>35407</v>
      </c>
      <c r="C201" s="188" t="s">
        <v>247</v>
      </c>
      <c r="D201" s="1" t="s">
        <v>418</v>
      </c>
      <c r="E201" s="1">
        <f t="shared" ca="1" si="12"/>
        <v>28</v>
      </c>
      <c r="F201" s="1">
        <f t="shared" si="13"/>
        <v>25</v>
      </c>
      <c r="G201" s="1" t="s">
        <v>5</v>
      </c>
      <c r="AF201" s="167"/>
      <c r="AK201" s="167"/>
      <c r="AV201" s="168">
        <v>44682</v>
      </c>
      <c r="AW201" s="1">
        <f t="shared" ca="1" si="14"/>
        <v>3</v>
      </c>
      <c r="AX201" s="1" t="s">
        <v>63</v>
      </c>
      <c r="BA201" s="184"/>
      <c r="BK201" s="167"/>
      <c r="BU201" s="167"/>
      <c r="CE201" s="167"/>
    </row>
    <row r="202" spans="1:87" ht="28.8" hidden="1">
      <c r="A202" s="4">
        <v>201</v>
      </c>
      <c r="B202" s="171">
        <v>33199</v>
      </c>
      <c r="C202" s="188" t="s">
        <v>247</v>
      </c>
      <c r="D202" s="1" t="s">
        <v>170</v>
      </c>
      <c r="E202" s="1">
        <f t="shared" ca="1" si="12"/>
        <v>34</v>
      </c>
      <c r="F202" s="1">
        <f t="shared" si="13"/>
        <v>25</v>
      </c>
      <c r="G202" s="1" t="s">
        <v>8</v>
      </c>
      <c r="H202" s="1" t="s">
        <v>12</v>
      </c>
      <c r="I202" s="1">
        <v>0</v>
      </c>
      <c r="J202" s="1">
        <v>168</v>
      </c>
      <c r="K202" s="1">
        <v>48</v>
      </c>
      <c r="M202" s="1">
        <v>0</v>
      </c>
      <c r="N202" s="1">
        <v>0</v>
      </c>
      <c r="O202" s="1">
        <v>0</v>
      </c>
      <c r="P202" s="1">
        <v>116</v>
      </c>
      <c r="Q202" s="1">
        <v>105</v>
      </c>
      <c r="R202" s="1">
        <v>45</v>
      </c>
      <c r="S202" s="1">
        <v>21</v>
      </c>
      <c r="T202" s="1">
        <v>81</v>
      </c>
      <c r="U202" s="1">
        <v>68</v>
      </c>
      <c r="V202" s="1">
        <v>41.7</v>
      </c>
      <c r="W202" s="1">
        <v>4068</v>
      </c>
      <c r="X202" s="1">
        <v>0</v>
      </c>
      <c r="Y202" s="1">
        <v>198</v>
      </c>
      <c r="Z202" s="1">
        <v>0</v>
      </c>
      <c r="AA202" s="1">
        <v>0</v>
      </c>
      <c r="AB202" s="1" t="s">
        <v>110</v>
      </c>
      <c r="AF202" s="167"/>
      <c r="AH202" s="1" t="s">
        <v>110</v>
      </c>
      <c r="AK202" s="167"/>
      <c r="AL202" s="1" t="s">
        <v>437</v>
      </c>
      <c r="AN202" s="1" t="s">
        <v>437</v>
      </c>
      <c r="AO202" s="1" t="s">
        <v>437</v>
      </c>
      <c r="AP202" s="1" t="s">
        <v>437</v>
      </c>
      <c r="AQ202" s="1" t="s">
        <v>437</v>
      </c>
      <c r="AR202" s="1" t="s">
        <v>437</v>
      </c>
      <c r="AS202" s="1" t="s">
        <v>437</v>
      </c>
      <c r="AT202" s="1" t="s">
        <v>437</v>
      </c>
      <c r="AU202" s="1" t="s">
        <v>437</v>
      </c>
      <c r="AV202" s="168">
        <v>42377</v>
      </c>
      <c r="AW202" s="1">
        <f t="shared" ca="1" si="14"/>
        <v>9</v>
      </c>
      <c r="AX202" s="1" t="s">
        <v>445</v>
      </c>
      <c r="AY202" s="1">
        <v>6.62</v>
      </c>
      <c r="BA202" s="184" t="s">
        <v>356</v>
      </c>
      <c r="BB202" s="1" t="s">
        <v>448</v>
      </c>
      <c r="BD202" s="1">
        <v>1</v>
      </c>
      <c r="BE202" s="1">
        <v>1</v>
      </c>
      <c r="BF202" s="1">
        <v>1</v>
      </c>
      <c r="BH202" s="1">
        <v>1</v>
      </c>
      <c r="BK202" s="167" t="s">
        <v>466</v>
      </c>
      <c r="BL202" s="1" t="s">
        <v>472</v>
      </c>
      <c r="BN202" s="1" t="s">
        <v>483</v>
      </c>
      <c r="BU202" s="167"/>
      <c r="CE202" s="167"/>
      <c r="CI202" s="15" t="s">
        <v>272</v>
      </c>
    </row>
    <row r="203" spans="1:87" hidden="1">
      <c r="A203" s="4">
        <v>202</v>
      </c>
      <c r="B203" s="171">
        <v>34396</v>
      </c>
      <c r="C203" s="188" t="s">
        <v>247</v>
      </c>
      <c r="D203" s="1" t="s">
        <v>170</v>
      </c>
      <c r="E203" s="1">
        <f t="shared" ca="1" si="12"/>
        <v>31</v>
      </c>
      <c r="F203" s="1">
        <f t="shared" si="13"/>
        <v>20</v>
      </c>
      <c r="G203" s="1" t="s">
        <v>5</v>
      </c>
      <c r="H203" s="1" t="s">
        <v>12</v>
      </c>
      <c r="I203" s="1">
        <v>0</v>
      </c>
      <c r="J203" s="1">
        <v>175</v>
      </c>
      <c r="K203" s="1">
        <v>57</v>
      </c>
      <c r="M203" s="1">
        <v>0</v>
      </c>
      <c r="N203" s="1">
        <v>0</v>
      </c>
      <c r="O203" s="1">
        <v>0</v>
      </c>
      <c r="P203" s="1">
        <v>81</v>
      </c>
      <c r="Q203" s="1">
        <v>185</v>
      </c>
      <c r="R203" s="1">
        <v>32</v>
      </c>
      <c r="S203" s="1">
        <v>13</v>
      </c>
      <c r="T203" s="1">
        <v>78</v>
      </c>
      <c r="U203" s="1">
        <v>191</v>
      </c>
      <c r="Y203" s="1">
        <v>110</v>
      </c>
      <c r="Z203" s="1">
        <v>0</v>
      </c>
      <c r="AA203" s="1">
        <v>0</v>
      </c>
      <c r="AF203" s="167"/>
      <c r="AK203" s="167"/>
      <c r="AL203" s="1" t="s">
        <v>437</v>
      </c>
      <c r="AN203" s="1" t="s">
        <v>437</v>
      </c>
      <c r="AO203" s="1" t="s">
        <v>437</v>
      </c>
      <c r="AP203" s="1" t="s">
        <v>437</v>
      </c>
      <c r="AQ203" s="1" t="s">
        <v>437</v>
      </c>
      <c r="AR203" s="1" t="s">
        <v>437</v>
      </c>
      <c r="AS203" s="1" t="s">
        <v>437</v>
      </c>
      <c r="AT203" s="1" t="s">
        <v>437</v>
      </c>
      <c r="AU203" s="1" t="s">
        <v>437</v>
      </c>
      <c r="AV203" s="168">
        <v>41807</v>
      </c>
      <c r="AW203" s="1">
        <f t="shared" ca="1" si="14"/>
        <v>11</v>
      </c>
      <c r="AX203" s="1" t="s">
        <v>63</v>
      </c>
      <c r="AY203" s="1">
        <v>6.4</v>
      </c>
      <c r="BA203" s="184" t="s">
        <v>356</v>
      </c>
      <c r="BB203" s="1" t="s">
        <v>448</v>
      </c>
      <c r="BC203" s="1" t="s">
        <v>480</v>
      </c>
      <c r="BE203" s="1">
        <v>1</v>
      </c>
      <c r="BF203" s="1">
        <v>1</v>
      </c>
      <c r="BH203" s="1">
        <v>1</v>
      </c>
      <c r="BK203" s="167"/>
      <c r="BU203" s="167"/>
      <c r="CE203" s="167"/>
    </row>
    <row r="204" spans="1:87" hidden="1">
      <c r="A204" s="4">
        <v>203</v>
      </c>
      <c r="B204" s="171">
        <v>23855</v>
      </c>
      <c r="C204" s="188" t="s">
        <v>247</v>
      </c>
      <c r="D204" s="1" t="s">
        <v>170</v>
      </c>
      <c r="E204" s="1">
        <f t="shared" ca="1" si="12"/>
        <v>60</v>
      </c>
      <c r="F204" s="1">
        <f t="shared" si="13"/>
        <v>55</v>
      </c>
      <c r="G204" s="1" t="s">
        <v>6</v>
      </c>
      <c r="H204" s="1" t="s">
        <v>12</v>
      </c>
      <c r="I204" s="1">
        <v>0</v>
      </c>
      <c r="AF204" s="167"/>
      <c r="AK204" s="167"/>
      <c r="AV204" s="168">
        <v>44292</v>
      </c>
      <c r="AW204" s="1">
        <f t="shared" ca="1" si="14"/>
        <v>4</v>
      </c>
      <c r="AX204" s="1" t="s">
        <v>445</v>
      </c>
      <c r="BA204" s="184"/>
      <c r="BK204" s="167"/>
      <c r="BU204" s="167"/>
      <c r="CE204" s="167"/>
    </row>
    <row r="205" spans="1:87" hidden="1">
      <c r="A205" s="4">
        <v>204</v>
      </c>
      <c r="C205" s="188" t="s">
        <v>247</v>
      </c>
      <c r="D205" s="1" t="s">
        <v>170</v>
      </c>
      <c r="G205" s="1" t="e">
        <v>#N/A</v>
      </c>
      <c r="AF205" s="167"/>
      <c r="AK205" s="167"/>
      <c r="AV205" s="168">
        <v>44735</v>
      </c>
      <c r="AW205" s="1">
        <f t="shared" ca="1" si="14"/>
        <v>3</v>
      </c>
      <c r="AX205" s="1" t="s">
        <v>63</v>
      </c>
      <c r="BA205" s="184"/>
      <c r="BK205" s="167"/>
      <c r="BU205" s="167"/>
      <c r="CE205" s="167"/>
      <c r="CF205" s="1" t="s">
        <v>487</v>
      </c>
    </row>
    <row r="206" spans="1:87" hidden="1">
      <c r="A206" s="4">
        <v>205</v>
      </c>
      <c r="B206" s="171">
        <v>29883</v>
      </c>
      <c r="C206" s="188" t="s">
        <v>247</v>
      </c>
      <c r="D206" s="1" t="s">
        <v>170</v>
      </c>
      <c r="E206" s="1">
        <f t="shared" ref="E206:E250" ca="1" si="15">DATEDIF(B206,TODAY(),"Y")</f>
        <v>43</v>
      </c>
      <c r="F206" s="1">
        <f t="shared" ref="F206:F236" si="16">DATEDIF(B206,AV206,"Y")</f>
        <v>37</v>
      </c>
      <c r="G206" s="1" t="s">
        <v>8</v>
      </c>
      <c r="AF206" s="167"/>
      <c r="AK206" s="167"/>
      <c r="AV206" s="168">
        <v>43538</v>
      </c>
      <c r="AW206" s="1">
        <f t="shared" ca="1" si="14"/>
        <v>6</v>
      </c>
      <c r="AX206" s="1" t="s">
        <v>445</v>
      </c>
      <c r="BA206" s="184"/>
      <c r="BK206" s="167"/>
      <c r="BU206" s="167"/>
      <c r="CE206" s="167"/>
    </row>
    <row r="207" spans="1:87" hidden="1">
      <c r="A207" s="4">
        <v>206</v>
      </c>
      <c r="B207" s="171">
        <v>29088</v>
      </c>
      <c r="C207" s="188" t="s">
        <v>247</v>
      </c>
      <c r="D207" s="1" t="s">
        <v>418</v>
      </c>
      <c r="E207" s="1">
        <f t="shared" ca="1" si="15"/>
        <v>45</v>
      </c>
      <c r="F207" s="1">
        <f t="shared" si="16"/>
        <v>39</v>
      </c>
      <c r="G207" s="1" t="s">
        <v>419</v>
      </c>
      <c r="AF207" s="167"/>
      <c r="AK207" s="167"/>
      <c r="AV207" s="168">
        <v>43361</v>
      </c>
      <c r="AW207" s="1">
        <f t="shared" ca="1" si="14"/>
        <v>6</v>
      </c>
      <c r="AX207" s="1" t="s">
        <v>445</v>
      </c>
      <c r="BA207" s="184"/>
      <c r="BK207" s="167"/>
      <c r="BU207" s="167"/>
      <c r="CE207" s="167"/>
      <c r="CG207" s="1">
        <v>1</v>
      </c>
      <c r="CI207" s="15" t="s">
        <v>273</v>
      </c>
    </row>
    <row r="208" spans="1:87" hidden="1">
      <c r="A208" s="4">
        <v>207</v>
      </c>
      <c r="B208" s="171">
        <v>32665</v>
      </c>
      <c r="C208" s="188" t="s">
        <v>247</v>
      </c>
      <c r="D208" s="1" t="s">
        <v>170</v>
      </c>
      <c r="E208" s="1">
        <f t="shared" ca="1" si="15"/>
        <v>36</v>
      </c>
      <c r="F208" s="1">
        <f t="shared" si="16"/>
        <v>30</v>
      </c>
      <c r="G208" s="1" t="s">
        <v>419</v>
      </c>
      <c r="AF208" s="167"/>
      <c r="AK208" s="167"/>
      <c r="AV208" s="168">
        <v>43749</v>
      </c>
      <c r="AW208" s="1">
        <f t="shared" ca="1" si="14"/>
        <v>5</v>
      </c>
      <c r="AX208" s="1" t="s">
        <v>445</v>
      </c>
      <c r="BA208" s="184"/>
      <c r="BK208" s="167"/>
      <c r="BU208" s="167"/>
      <c r="CE208" s="167"/>
      <c r="CG208" s="1">
        <v>1</v>
      </c>
      <c r="CI208" s="15" t="s">
        <v>273</v>
      </c>
    </row>
    <row r="209" spans="1:87" hidden="1">
      <c r="A209" s="4">
        <v>208</v>
      </c>
      <c r="B209" s="171">
        <v>23847</v>
      </c>
      <c r="C209" s="188" t="s">
        <v>247</v>
      </c>
      <c r="D209" s="1" t="s">
        <v>418</v>
      </c>
      <c r="E209" s="1">
        <f t="shared" ca="1" si="15"/>
        <v>60</v>
      </c>
      <c r="F209" s="1">
        <f t="shared" si="16"/>
        <v>56</v>
      </c>
      <c r="G209" s="1" t="s">
        <v>419</v>
      </c>
      <c r="AF209" s="167"/>
      <c r="AK209" s="167"/>
      <c r="AV209" s="168">
        <v>44622</v>
      </c>
      <c r="AW209" s="1">
        <f t="shared" ca="1" si="14"/>
        <v>3</v>
      </c>
      <c r="AX209" s="1" t="s">
        <v>445</v>
      </c>
      <c r="BA209" s="184"/>
      <c r="BK209" s="167"/>
      <c r="BU209" s="167"/>
      <c r="CE209" s="167"/>
      <c r="CF209" s="1" t="s">
        <v>313</v>
      </c>
    </row>
    <row r="210" spans="1:87" hidden="1">
      <c r="A210" s="4">
        <v>209</v>
      </c>
      <c r="B210" s="171">
        <v>20384</v>
      </c>
      <c r="C210" s="188" t="s">
        <v>247</v>
      </c>
      <c r="D210" s="1" t="s">
        <v>418</v>
      </c>
      <c r="E210" s="1">
        <f t="shared" ca="1" si="15"/>
        <v>69</v>
      </c>
      <c r="F210" s="1">
        <f t="shared" si="16"/>
        <v>61</v>
      </c>
      <c r="G210" s="1" t="s">
        <v>5</v>
      </c>
      <c r="AF210" s="167"/>
      <c r="AK210" s="167"/>
      <c r="AV210" s="168">
        <v>42705</v>
      </c>
      <c r="AW210" s="1">
        <f t="shared" ca="1" si="14"/>
        <v>8</v>
      </c>
      <c r="AX210" s="1" t="s">
        <v>63</v>
      </c>
      <c r="BA210" s="184"/>
      <c r="BK210" s="167"/>
      <c r="BU210" s="167"/>
      <c r="CE210" s="167"/>
      <c r="CG210" s="1">
        <v>1</v>
      </c>
    </row>
    <row r="211" spans="1:87" hidden="1">
      <c r="A211" s="4">
        <v>210</v>
      </c>
      <c r="B211" s="171">
        <v>26541</v>
      </c>
      <c r="C211" s="188" t="s">
        <v>247</v>
      </c>
      <c r="D211" s="1" t="s">
        <v>170</v>
      </c>
      <c r="E211" s="1">
        <f t="shared" ca="1" si="15"/>
        <v>52</v>
      </c>
      <c r="F211" s="1">
        <f t="shared" si="16"/>
        <v>46</v>
      </c>
      <c r="G211" s="1" t="s">
        <v>8</v>
      </c>
      <c r="AF211" s="167"/>
      <c r="AK211" s="167"/>
      <c r="AV211" s="168">
        <v>43535</v>
      </c>
      <c r="AW211" s="1">
        <f t="shared" ca="1" si="14"/>
        <v>6</v>
      </c>
      <c r="AX211" s="1" t="s">
        <v>445</v>
      </c>
      <c r="BA211" s="184"/>
      <c r="BK211" s="167"/>
      <c r="BU211" s="167"/>
      <c r="CE211" s="167"/>
    </row>
    <row r="212" spans="1:87" hidden="1">
      <c r="A212" s="4">
        <v>211</v>
      </c>
      <c r="B212" s="171">
        <v>37381</v>
      </c>
      <c r="C212" s="188" t="s">
        <v>247</v>
      </c>
      <c r="D212" s="1" t="s">
        <v>418</v>
      </c>
      <c r="E212" s="1">
        <f t="shared" ca="1" si="15"/>
        <v>23</v>
      </c>
      <c r="F212" s="1">
        <f t="shared" si="16"/>
        <v>17</v>
      </c>
      <c r="G212" s="1" t="s">
        <v>8</v>
      </c>
      <c r="H212" s="1" t="s">
        <v>12</v>
      </c>
      <c r="I212" s="1" t="s">
        <v>12</v>
      </c>
      <c r="J212" s="1">
        <v>160</v>
      </c>
      <c r="K212" s="1">
        <v>71</v>
      </c>
      <c r="M212" s="1">
        <v>0</v>
      </c>
      <c r="N212" s="1">
        <v>0</v>
      </c>
      <c r="O212" s="1">
        <v>0</v>
      </c>
      <c r="P212" s="1">
        <v>28</v>
      </c>
      <c r="Q212" s="1">
        <v>19</v>
      </c>
      <c r="R212" s="1">
        <v>40</v>
      </c>
      <c r="S212" s="1">
        <v>38</v>
      </c>
      <c r="T212" s="1">
        <v>47</v>
      </c>
      <c r="U212" s="1">
        <v>45</v>
      </c>
      <c r="V212" s="1">
        <v>40</v>
      </c>
      <c r="W212" s="1">
        <v>2462</v>
      </c>
      <c r="X212" s="1">
        <v>0</v>
      </c>
      <c r="Y212" s="1">
        <v>0</v>
      </c>
      <c r="Z212" s="1">
        <v>0</v>
      </c>
      <c r="AA212" s="1">
        <v>0</v>
      </c>
      <c r="AC212" s="1" t="s">
        <v>83</v>
      </c>
      <c r="AF212" s="167"/>
      <c r="AH212" s="1" t="s">
        <v>83</v>
      </c>
      <c r="AK212" s="167"/>
      <c r="AL212" s="1" t="s">
        <v>438</v>
      </c>
      <c r="AM212" s="1" t="s">
        <v>88</v>
      </c>
      <c r="AN212" s="1" t="s">
        <v>437</v>
      </c>
      <c r="AO212" s="1" t="s">
        <v>437</v>
      </c>
      <c r="AP212" s="1" t="s">
        <v>437</v>
      </c>
      <c r="AQ212" s="1" t="s">
        <v>437</v>
      </c>
      <c r="AR212" s="1" t="s">
        <v>437</v>
      </c>
      <c r="AS212" s="1" t="s">
        <v>437</v>
      </c>
      <c r="AT212" s="1" t="s">
        <v>437</v>
      </c>
      <c r="AU212" s="1" t="s">
        <v>437</v>
      </c>
      <c r="AV212" s="168">
        <v>43775</v>
      </c>
      <c r="AW212" s="1">
        <f t="shared" ca="1" si="14"/>
        <v>5</v>
      </c>
      <c r="AX212" s="1" t="s">
        <v>445</v>
      </c>
      <c r="AY212" s="1">
        <v>3</v>
      </c>
      <c r="BA212" s="184" t="s">
        <v>356</v>
      </c>
      <c r="BB212" s="1" t="s">
        <v>34</v>
      </c>
      <c r="BK212" s="167"/>
      <c r="BU212" s="167"/>
      <c r="CE212" s="167"/>
    </row>
    <row r="213" spans="1:87" hidden="1">
      <c r="A213" s="4">
        <v>212</v>
      </c>
      <c r="B213" s="171">
        <v>29986</v>
      </c>
      <c r="C213" s="188" t="s">
        <v>247</v>
      </c>
      <c r="D213" s="1" t="s">
        <v>418</v>
      </c>
      <c r="E213" s="1">
        <f t="shared" ca="1" si="15"/>
        <v>43</v>
      </c>
      <c r="F213" s="1">
        <f t="shared" si="16"/>
        <v>37</v>
      </c>
      <c r="G213" s="1" t="s">
        <v>419</v>
      </c>
      <c r="H213" s="1" t="s">
        <v>12</v>
      </c>
      <c r="I213" s="1" t="s">
        <v>14</v>
      </c>
      <c r="J213" s="1">
        <v>185</v>
      </c>
      <c r="K213" s="1">
        <v>89</v>
      </c>
      <c r="M213" s="1">
        <v>0</v>
      </c>
      <c r="N213" s="1">
        <v>0</v>
      </c>
      <c r="O213" s="1">
        <v>0</v>
      </c>
      <c r="P213" s="1">
        <v>49</v>
      </c>
      <c r="Q213" s="1">
        <v>63</v>
      </c>
      <c r="R213" s="1">
        <v>175</v>
      </c>
      <c r="S213" s="1">
        <v>7</v>
      </c>
      <c r="T213" s="1">
        <v>70</v>
      </c>
      <c r="U213" s="1">
        <v>170</v>
      </c>
      <c r="V213" s="1">
        <v>41</v>
      </c>
      <c r="W213" s="1">
        <v>3386</v>
      </c>
      <c r="X213" s="1">
        <v>0</v>
      </c>
      <c r="Y213" s="1">
        <v>73</v>
      </c>
      <c r="Z213" s="1">
        <v>0</v>
      </c>
      <c r="AA213" s="1">
        <v>0</v>
      </c>
      <c r="AC213" s="1" t="s">
        <v>83</v>
      </c>
      <c r="AF213" s="167"/>
      <c r="AG213" s="1" t="s">
        <v>83</v>
      </c>
      <c r="AK213" s="167"/>
      <c r="AL213" s="1" t="s">
        <v>439</v>
      </c>
      <c r="AM213" s="1" t="s">
        <v>186</v>
      </c>
      <c r="AN213" s="1" t="s">
        <v>439</v>
      </c>
      <c r="AO213" s="1" t="s">
        <v>437</v>
      </c>
      <c r="AP213" s="1" t="s">
        <v>437</v>
      </c>
      <c r="AQ213" s="1" t="s">
        <v>437</v>
      </c>
      <c r="AR213" s="1" t="s">
        <v>437</v>
      </c>
      <c r="AS213" s="1" t="s">
        <v>437</v>
      </c>
      <c r="AT213" s="1" t="s">
        <v>437</v>
      </c>
      <c r="AU213" s="1" t="s">
        <v>437</v>
      </c>
      <c r="AV213" s="168">
        <v>43679</v>
      </c>
      <c r="AW213" s="1">
        <f t="shared" ca="1" si="14"/>
        <v>5</v>
      </c>
      <c r="AX213" s="1" t="s">
        <v>445</v>
      </c>
      <c r="AY213" s="1">
        <v>7.16</v>
      </c>
      <c r="BA213" s="184" t="s">
        <v>356</v>
      </c>
      <c r="BB213" s="1" t="s">
        <v>448</v>
      </c>
      <c r="BD213" s="1">
        <v>1</v>
      </c>
      <c r="BK213" s="167"/>
      <c r="BL213" s="1" t="s">
        <v>446</v>
      </c>
      <c r="BM213" s="1" t="s">
        <v>480</v>
      </c>
      <c r="BN213" s="1" t="s">
        <v>483</v>
      </c>
      <c r="BU213" s="167"/>
      <c r="CE213" s="167"/>
      <c r="CI213" s="15" t="s">
        <v>274</v>
      </c>
    </row>
    <row r="214" spans="1:87" hidden="1">
      <c r="A214" s="4">
        <v>213</v>
      </c>
      <c r="B214" s="171">
        <v>25637</v>
      </c>
      <c r="C214" s="188" t="s">
        <v>247</v>
      </c>
      <c r="D214" s="1" t="s">
        <v>418</v>
      </c>
      <c r="E214" s="1">
        <f t="shared" ca="1" si="15"/>
        <v>55</v>
      </c>
      <c r="F214" s="1">
        <f t="shared" si="16"/>
        <v>51</v>
      </c>
      <c r="G214" s="1" t="e">
        <v>#N/A</v>
      </c>
      <c r="AF214" s="167"/>
      <c r="AK214" s="167"/>
      <c r="AV214" s="168">
        <v>44617</v>
      </c>
      <c r="AW214" s="1">
        <f t="shared" ca="1" si="14"/>
        <v>3</v>
      </c>
      <c r="AX214" s="1" t="s">
        <v>63</v>
      </c>
      <c r="BA214" s="184"/>
      <c r="BK214" s="167"/>
      <c r="BU214" s="167"/>
      <c r="CE214" s="167"/>
    </row>
    <row r="215" spans="1:87" hidden="1">
      <c r="A215" s="4">
        <v>214</v>
      </c>
      <c r="B215" s="171">
        <v>29885</v>
      </c>
      <c r="C215" s="188" t="s">
        <v>247</v>
      </c>
      <c r="D215" s="1" t="s">
        <v>170</v>
      </c>
      <c r="E215" s="1">
        <f t="shared" ca="1" si="15"/>
        <v>43</v>
      </c>
      <c r="F215" s="1">
        <f t="shared" si="16"/>
        <v>35</v>
      </c>
      <c r="G215" s="1" t="s">
        <v>8</v>
      </c>
      <c r="H215" s="1" t="s">
        <v>12</v>
      </c>
      <c r="I215" s="1" t="s">
        <v>12</v>
      </c>
      <c r="J215" s="1">
        <v>169</v>
      </c>
      <c r="K215" s="1">
        <v>75</v>
      </c>
      <c r="M215" s="1">
        <v>0</v>
      </c>
      <c r="N215" s="1">
        <v>0</v>
      </c>
      <c r="O215" s="1">
        <v>0</v>
      </c>
      <c r="P215" s="1">
        <v>187</v>
      </c>
      <c r="Q215" s="1">
        <v>222</v>
      </c>
      <c r="R215" s="1">
        <v>71</v>
      </c>
      <c r="S215" s="1">
        <v>12</v>
      </c>
      <c r="T215" s="1">
        <v>61</v>
      </c>
      <c r="U215" s="1">
        <v>325</v>
      </c>
      <c r="V215" s="1">
        <v>39</v>
      </c>
      <c r="AA215" s="1">
        <v>1</v>
      </c>
      <c r="AF215" s="167"/>
      <c r="AK215" s="167"/>
      <c r="AV215" s="168">
        <v>42996</v>
      </c>
      <c r="AW215" s="1">
        <f t="shared" ca="1" si="14"/>
        <v>7</v>
      </c>
      <c r="AX215" s="1" t="s">
        <v>31</v>
      </c>
      <c r="BA215" s="184"/>
      <c r="BK215" s="167"/>
      <c r="BU215" s="167"/>
      <c r="CE215" s="167"/>
    </row>
    <row r="216" spans="1:87" hidden="1">
      <c r="A216" s="4">
        <v>215</v>
      </c>
      <c r="B216" s="171">
        <v>28419</v>
      </c>
      <c r="C216" s="188" t="s">
        <v>247</v>
      </c>
      <c r="D216" s="1" t="s">
        <v>170</v>
      </c>
      <c r="E216" s="1">
        <f t="shared" ca="1" si="15"/>
        <v>47</v>
      </c>
      <c r="F216" s="1">
        <f t="shared" si="16"/>
        <v>39</v>
      </c>
      <c r="G216" s="1" t="s">
        <v>6</v>
      </c>
      <c r="H216" s="1" t="s">
        <v>12</v>
      </c>
      <c r="I216" s="1" t="s">
        <v>12</v>
      </c>
      <c r="J216" s="1">
        <v>165</v>
      </c>
      <c r="K216" s="1">
        <v>62</v>
      </c>
      <c r="M216" s="1">
        <v>0</v>
      </c>
      <c r="N216" s="1">
        <v>0</v>
      </c>
      <c r="O216" s="1">
        <v>0</v>
      </c>
      <c r="P216" s="1">
        <v>27</v>
      </c>
      <c r="Q216" s="1">
        <v>33</v>
      </c>
      <c r="R216" s="1">
        <v>16</v>
      </c>
      <c r="S216" s="1">
        <v>10</v>
      </c>
      <c r="U216" s="1">
        <v>187</v>
      </c>
      <c r="Z216" s="1">
        <v>0</v>
      </c>
      <c r="AA216" s="1">
        <v>0</v>
      </c>
      <c r="AC216" s="1" t="s">
        <v>128</v>
      </c>
      <c r="AL216" s="1" t="s">
        <v>437</v>
      </c>
      <c r="AV216" s="168">
        <v>42815</v>
      </c>
      <c r="AW216" s="1">
        <f t="shared" ca="1" si="14"/>
        <v>8</v>
      </c>
      <c r="AX216" s="1" t="s">
        <v>445</v>
      </c>
      <c r="AY216" s="1">
        <v>5.51</v>
      </c>
      <c r="BA216" s="184" t="s">
        <v>356</v>
      </c>
      <c r="BB216" s="1" t="s">
        <v>448</v>
      </c>
      <c r="BC216" s="1" t="s">
        <v>480</v>
      </c>
      <c r="CG216" s="1">
        <v>1</v>
      </c>
      <c r="CH216" s="1">
        <v>1</v>
      </c>
      <c r="CI216" s="15" t="s">
        <v>403</v>
      </c>
    </row>
    <row r="217" spans="1:87" hidden="1">
      <c r="A217" s="4">
        <v>216</v>
      </c>
      <c r="B217" s="171">
        <v>29332</v>
      </c>
      <c r="C217" s="188" t="s">
        <v>247</v>
      </c>
      <c r="D217" s="1" t="s">
        <v>418</v>
      </c>
      <c r="E217" s="1">
        <f t="shared" ca="1" si="15"/>
        <v>45</v>
      </c>
      <c r="F217" s="1">
        <f t="shared" si="16"/>
        <v>37</v>
      </c>
      <c r="G217" s="1" t="s">
        <v>6</v>
      </c>
      <c r="J217" s="1">
        <v>170</v>
      </c>
      <c r="K217" s="1">
        <v>93</v>
      </c>
      <c r="M217" s="1">
        <v>0</v>
      </c>
      <c r="N217" s="1">
        <v>0</v>
      </c>
      <c r="O217" s="1">
        <v>0</v>
      </c>
      <c r="P217" s="1">
        <v>64</v>
      </c>
      <c r="Q217" s="1">
        <v>92</v>
      </c>
      <c r="R217" s="1">
        <v>67</v>
      </c>
      <c r="S217" s="1">
        <v>15</v>
      </c>
      <c r="U217" s="1">
        <v>239</v>
      </c>
      <c r="Z217" s="1">
        <v>0</v>
      </c>
      <c r="AA217" s="1">
        <v>0</v>
      </c>
      <c r="AC217" s="1" t="s">
        <v>110</v>
      </c>
      <c r="AV217" s="168">
        <v>42927</v>
      </c>
      <c r="AW217" s="1">
        <f t="shared" ca="1" si="14"/>
        <v>8</v>
      </c>
      <c r="AX217" s="1" t="s">
        <v>445</v>
      </c>
      <c r="BA217" s="184"/>
    </row>
    <row r="218" spans="1:87" hidden="1">
      <c r="A218" s="4">
        <v>217</v>
      </c>
      <c r="B218" s="171">
        <v>30028</v>
      </c>
      <c r="C218" s="188" t="s">
        <v>247</v>
      </c>
      <c r="D218" s="1" t="s">
        <v>418</v>
      </c>
      <c r="E218" s="1">
        <f t="shared" ca="1" si="15"/>
        <v>43</v>
      </c>
      <c r="F218" s="1">
        <f t="shared" si="16"/>
        <v>40</v>
      </c>
      <c r="G218" s="1" t="s">
        <v>8</v>
      </c>
      <c r="H218" s="1" t="s">
        <v>12</v>
      </c>
      <c r="I218" s="1" t="s">
        <v>12</v>
      </c>
      <c r="J218" s="1">
        <v>178</v>
      </c>
      <c r="K218" s="1">
        <v>70</v>
      </c>
      <c r="M218" s="1">
        <v>0</v>
      </c>
      <c r="N218" s="1">
        <v>0</v>
      </c>
      <c r="O218" s="1">
        <v>0</v>
      </c>
      <c r="P218" s="1">
        <v>43</v>
      </c>
      <c r="Q218" s="1">
        <v>48</v>
      </c>
      <c r="R218" s="1">
        <v>47</v>
      </c>
      <c r="S218" s="1">
        <v>5</v>
      </c>
      <c r="T218" s="1">
        <v>71</v>
      </c>
      <c r="U218" s="1">
        <v>177</v>
      </c>
      <c r="V218" s="1">
        <v>43</v>
      </c>
      <c r="W218" s="1">
        <v>4000</v>
      </c>
      <c r="X218" s="1">
        <v>0</v>
      </c>
      <c r="Y218" s="1">
        <v>0.49</v>
      </c>
      <c r="Z218" s="1">
        <v>0</v>
      </c>
      <c r="AA218" s="1">
        <v>0</v>
      </c>
      <c r="AC218" s="1" t="s">
        <v>110</v>
      </c>
      <c r="AF218" s="167"/>
      <c r="AK218" s="167"/>
      <c r="AL218" s="1" t="s">
        <v>437</v>
      </c>
      <c r="AN218" s="1" t="s">
        <v>437</v>
      </c>
      <c r="AO218" s="1" t="s">
        <v>437</v>
      </c>
      <c r="AP218" s="1" t="s">
        <v>437</v>
      </c>
      <c r="AQ218" s="1" t="s">
        <v>437</v>
      </c>
      <c r="AR218" s="1" t="s">
        <v>437</v>
      </c>
      <c r="AS218" s="1" t="s">
        <v>437</v>
      </c>
      <c r="AT218" s="1" t="s">
        <v>437</v>
      </c>
      <c r="AU218" s="1" t="s">
        <v>437</v>
      </c>
      <c r="AV218" s="168">
        <v>44927</v>
      </c>
      <c r="AW218" s="1">
        <f t="shared" ca="1" si="14"/>
        <v>2</v>
      </c>
      <c r="AX218" s="1" t="s">
        <v>445</v>
      </c>
      <c r="BA218" s="184" t="s">
        <v>34</v>
      </c>
      <c r="BB218" s="1" t="s">
        <v>34</v>
      </c>
      <c r="BK218" s="167"/>
      <c r="BU218" s="167"/>
      <c r="CE218" s="167"/>
    </row>
    <row r="219" spans="1:87" hidden="1">
      <c r="A219" s="4">
        <v>218</v>
      </c>
      <c r="B219" s="171">
        <v>31312</v>
      </c>
      <c r="C219" s="188" t="s">
        <v>247</v>
      </c>
      <c r="D219" s="1" t="s">
        <v>418</v>
      </c>
      <c r="E219" s="1">
        <f t="shared" ca="1" si="15"/>
        <v>39</v>
      </c>
      <c r="F219" s="1">
        <f t="shared" si="16"/>
        <v>38</v>
      </c>
      <c r="G219" s="1" t="s">
        <v>8</v>
      </c>
      <c r="H219" s="1" t="s">
        <v>12</v>
      </c>
      <c r="I219" s="1" t="s">
        <v>12</v>
      </c>
      <c r="M219" s="1">
        <v>0</v>
      </c>
      <c r="N219" s="1">
        <v>0</v>
      </c>
      <c r="O219" s="1">
        <v>0</v>
      </c>
      <c r="P219" s="1">
        <v>18</v>
      </c>
      <c r="Q219" s="1">
        <v>17</v>
      </c>
      <c r="R219" s="1">
        <v>13</v>
      </c>
      <c r="S219" s="1">
        <v>7</v>
      </c>
      <c r="T219" s="1">
        <v>92</v>
      </c>
      <c r="U219" s="1">
        <v>187</v>
      </c>
      <c r="W219" s="1">
        <v>4816</v>
      </c>
      <c r="X219" s="1">
        <v>1</v>
      </c>
      <c r="Y219" s="1">
        <v>1449</v>
      </c>
      <c r="Z219" s="1">
        <v>0</v>
      </c>
      <c r="AA219" s="1">
        <v>0</v>
      </c>
      <c r="AC219" s="1" t="s">
        <v>91</v>
      </c>
      <c r="AF219" s="167"/>
      <c r="AK219" s="167"/>
      <c r="AL219" s="1" t="s">
        <v>437</v>
      </c>
      <c r="AN219" s="1" t="s">
        <v>437</v>
      </c>
      <c r="AO219" s="1" t="s">
        <v>437</v>
      </c>
      <c r="AP219" s="1" t="s">
        <v>437</v>
      </c>
      <c r="AQ219" s="1" t="s">
        <v>437</v>
      </c>
      <c r="AR219" s="1" t="s">
        <v>437</v>
      </c>
      <c r="AS219" s="1" t="s">
        <v>437</v>
      </c>
      <c r="AT219" s="1" t="s">
        <v>437</v>
      </c>
      <c r="AU219" s="1" t="s">
        <v>437</v>
      </c>
      <c r="AV219" s="168">
        <v>45292</v>
      </c>
      <c r="AW219" s="1">
        <f t="shared" ca="1" si="14"/>
        <v>1</v>
      </c>
      <c r="AX219" s="1" t="s">
        <v>445</v>
      </c>
      <c r="AY219" s="1">
        <v>1.7</v>
      </c>
      <c r="BA219" s="184" t="s">
        <v>34</v>
      </c>
      <c r="BB219" s="1" t="s">
        <v>34</v>
      </c>
      <c r="BK219" s="167"/>
      <c r="BU219" s="167"/>
      <c r="CE219" s="167"/>
      <c r="CF219" s="1" t="s">
        <v>313</v>
      </c>
      <c r="CI219" s="15" t="s">
        <v>313</v>
      </c>
    </row>
    <row r="220" spans="1:87" hidden="1">
      <c r="A220" s="4">
        <v>219</v>
      </c>
      <c r="B220" s="171">
        <v>39427</v>
      </c>
      <c r="C220" s="188" t="s">
        <v>247</v>
      </c>
      <c r="D220" s="1" t="s">
        <v>418</v>
      </c>
      <c r="E220" s="1">
        <f t="shared" ca="1" si="15"/>
        <v>17</v>
      </c>
      <c r="F220" s="1">
        <f t="shared" si="16"/>
        <v>15</v>
      </c>
      <c r="G220" s="1" t="s">
        <v>8</v>
      </c>
      <c r="AF220" s="167"/>
      <c r="AK220" s="167"/>
      <c r="AV220" s="168">
        <v>45252</v>
      </c>
      <c r="AW220" s="1">
        <f t="shared" ca="1" si="14"/>
        <v>1</v>
      </c>
      <c r="AX220" s="1" t="s">
        <v>445</v>
      </c>
      <c r="BA220" s="184"/>
      <c r="BK220" s="167"/>
      <c r="BU220" s="167"/>
      <c r="CE220" s="167"/>
    </row>
    <row r="221" spans="1:87" hidden="1">
      <c r="A221" s="4">
        <v>220</v>
      </c>
      <c r="B221" s="171">
        <v>38137</v>
      </c>
      <c r="C221" s="188" t="s">
        <v>247</v>
      </c>
      <c r="D221" s="1" t="s">
        <v>418</v>
      </c>
      <c r="E221" s="1">
        <f t="shared" ca="1" si="15"/>
        <v>21</v>
      </c>
      <c r="F221" s="1">
        <f t="shared" si="16"/>
        <v>19</v>
      </c>
      <c r="G221" s="1" t="s">
        <v>8</v>
      </c>
      <c r="AF221" s="167"/>
      <c r="AK221" s="167"/>
      <c r="AV221" s="168">
        <v>45233</v>
      </c>
      <c r="AW221" s="1">
        <f t="shared" ca="1" si="14"/>
        <v>1</v>
      </c>
      <c r="AX221" s="1" t="s">
        <v>445</v>
      </c>
      <c r="BA221" s="184"/>
      <c r="BK221" s="167"/>
      <c r="BU221" s="167"/>
      <c r="CE221" s="167"/>
      <c r="CG221" s="1">
        <v>1</v>
      </c>
    </row>
    <row r="222" spans="1:87" hidden="1">
      <c r="A222" s="4">
        <v>221</v>
      </c>
      <c r="B222" s="171">
        <v>18762</v>
      </c>
      <c r="C222" s="188" t="s">
        <v>247</v>
      </c>
      <c r="D222" s="1" t="s">
        <v>170</v>
      </c>
      <c r="E222" s="1">
        <f t="shared" ca="1" si="15"/>
        <v>74</v>
      </c>
      <c r="F222" s="1">
        <f t="shared" si="16"/>
        <v>71</v>
      </c>
      <c r="G222" s="1" t="s">
        <v>5</v>
      </c>
      <c r="AF222" s="167"/>
      <c r="AK222" s="167"/>
      <c r="AV222" s="168">
        <v>44966</v>
      </c>
      <c r="AW222" s="1">
        <f t="shared" ca="1" si="14"/>
        <v>2</v>
      </c>
      <c r="AX222" s="1" t="s">
        <v>63</v>
      </c>
      <c r="BA222" s="184"/>
      <c r="BK222" s="167"/>
      <c r="BU222" s="167"/>
      <c r="CE222" s="167"/>
      <c r="CG222" s="1">
        <v>1</v>
      </c>
    </row>
    <row r="223" spans="1:87" hidden="1">
      <c r="A223" s="4">
        <v>222</v>
      </c>
      <c r="B223" s="171">
        <v>39087</v>
      </c>
      <c r="C223" s="188" t="s">
        <v>247</v>
      </c>
      <c r="D223" s="1" t="s">
        <v>418</v>
      </c>
      <c r="E223" s="1">
        <f t="shared" ca="1" si="15"/>
        <v>18</v>
      </c>
      <c r="F223" s="1">
        <f t="shared" si="16"/>
        <v>16</v>
      </c>
      <c r="G223" s="1" t="s">
        <v>8</v>
      </c>
      <c r="AF223" s="167"/>
      <c r="AK223" s="167"/>
      <c r="AV223" s="168">
        <v>44945</v>
      </c>
      <c r="AW223" s="1">
        <f t="shared" ca="1" si="14"/>
        <v>2</v>
      </c>
      <c r="AX223" s="1" t="s">
        <v>445</v>
      </c>
      <c r="BA223" s="184"/>
      <c r="BK223" s="167"/>
      <c r="BU223" s="167"/>
      <c r="CE223" s="167"/>
      <c r="CG223" s="1">
        <v>1</v>
      </c>
    </row>
    <row r="224" spans="1:87" ht="28.8" hidden="1">
      <c r="A224" s="4">
        <v>223</v>
      </c>
      <c r="B224" s="171">
        <v>17671</v>
      </c>
      <c r="C224" s="188" t="s">
        <v>247</v>
      </c>
      <c r="D224" s="1" t="s">
        <v>418</v>
      </c>
      <c r="E224" s="1">
        <f t="shared" ca="1" si="15"/>
        <v>77</v>
      </c>
      <c r="F224" s="1">
        <f t="shared" si="16"/>
        <v>52</v>
      </c>
      <c r="G224" s="1" t="s">
        <v>5</v>
      </c>
      <c r="H224" s="1" t="s">
        <v>12</v>
      </c>
      <c r="I224" s="1" t="s">
        <v>12</v>
      </c>
      <c r="K224" s="1">
        <v>78</v>
      </c>
      <c r="M224" s="1">
        <v>0</v>
      </c>
      <c r="N224" s="1">
        <v>1</v>
      </c>
      <c r="O224" s="1">
        <v>0</v>
      </c>
      <c r="P224" s="1">
        <v>56</v>
      </c>
      <c r="Q224" s="1">
        <v>81</v>
      </c>
      <c r="R224" s="1">
        <v>140</v>
      </c>
      <c r="S224" s="1">
        <v>14</v>
      </c>
      <c r="T224" s="1">
        <v>100</v>
      </c>
      <c r="U224" s="1">
        <v>104</v>
      </c>
      <c r="V224" s="1">
        <v>40</v>
      </c>
      <c r="Z224" s="1">
        <v>0</v>
      </c>
      <c r="AA224" s="1">
        <v>0</v>
      </c>
      <c r="AB224" s="1" t="s">
        <v>106</v>
      </c>
      <c r="AF224" s="167"/>
      <c r="AG224" s="1">
        <v>4</v>
      </c>
      <c r="AK224" s="167"/>
      <c r="AL224" s="1" t="s">
        <v>438</v>
      </c>
      <c r="AR224" s="1" t="s">
        <v>440</v>
      </c>
      <c r="AV224" s="168">
        <v>36892</v>
      </c>
      <c r="AW224" s="1">
        <f t="shared" ca="1" si="14"/>
        <v>24</v>
      </c>
      <c r="AX224" s="1" t="s">
        <v>30</v>
      </c>
      <c r="AY224" s="1">
        <v>7</v>
      </c>
      <c r="BA224" s="184" t="s">
        <v>275</v>
      </c>
      <c r="BB224" s="1" t="s">
        <v>448</v>
      </c>
      <c r="BD224" s="1">
        <v>1</v>
      </c>
      <c r="BE224" s="1">
        <v>1</v>
      </c>
      <c r="BF224" s="1">
        <v>1</v>
      </c>
      <c r="BI224" s="1">
        <v>1</v>
      </c>
      <c r="BJ224" s="1">
        <v>1</v>
      </c>
      <c r="BK224" s="167"/>
      <c r="BU224" s="167"/>
      <c r="CE224" s="167"/>
      <c r="CI224" s="15" t="s">
        <v>276</v>
      </c>
    </row>
    <row r="225" spans="1:87" hidden="1">
      <c r="A225" s="4">
        <v>224</v>
      </c>
      <c r="B225" s="171">
        <v>38627</v>
      </c>
      <c r="C225" s="188" t="s">
        <v>247</v>
      </c>
      <c r="D225" s="1" t="s">
        <v>418</v>
      </c>
      <c r="E225" s="1">
        <f t="shared" ca="1" si="15"/>
        <v>19</v>
      </c>
      <c r="G225" s="1" t="s">
        <v>8</v>
      </c>
      <c r="AF225" s="167"/>
      <c r="AK225" s="167"/>
      <c r="AW225" s="1">
        <f t="shared" ca="1" si="14"/>
        <v>125</v>
      </c>
      <c r="AX225" s="1" t="s">
        <v>445</v>
      </c>
      <c r="BA225" s="184"/>
      <c r="BK225" s="167"/>
      <c r="BU225" s="167"/>
      <c r="CE225" s="167"/>
      <c r="CG225" s="1">
        <v>1</v>
      </c>
    </row>
    <row r="226" spans="1:87" hidden="1">
      <c r="A226" s="4">
        <v>225</v>
      </c>
      <c r="B226" s="171">
        <v>29051</v>
      </c>
      <c r="C226" s="188" t="s">
        <v>247</v>
      </c>
      <c r="D226" s="1" t="s">
        <v>170</v>
      </c>
      <c r="E226" s="1">
        <f t="shared" ca="1" si="15"/>
        <v>46</v>
      </c>
      <c r="F226" s="1">
        <f t="shared" si="16"/>
        <v>42</v>
      </c>
      <c r="G226" s="1" t="s">
        <v>8</v>
      </c>
      <c r="H226" s="1" t="s">
        <v>12</v>
      </c>
      <c r="I226" s="1" t="s">
        <v>12</v>
      </c>
      <c r="J226" s="1">
        <v>170</v>
      </c>
      <c r="K226" s="1">
        <v>95</v>
      </c>
      <c r="M226" s="1">
        <v>0</v>
      </c>
      <c r="N226" s="1">
        <v>0</v>
      </c>
      <c r="O226" s="1">
        <v>0</v>
      </c>
      <c r="P226" s="1">
        <v>20</v>
      </c>
      <c r="Q226" s="1">
        <v>15</v>
      </c>
      <c r="R226" s="1">
        <v>34</v>
      </c>
      <c r="S226" s="1">
        <v>9</v>
      </c>
      <c r="Z226" s="1">
        <v>0</v>
      </c>
      <c r="AA226" s="1">
        <v>0</v>
      </c>
      <c r="AC226" s="1" t="s">
        <v>91</v>
      </c>
      <c r="AF226" s="167"/>
      <c r="AK226" s="167"/>
      <c r="AL226" s="1" t="s">
        <v>437</v>
      </c>
      <c r="AV226" s="168">
        <v>44537</v>
      </c>
      <c r="AW226" s="1">
        <f t="shared" ca="1" si="14"/>
        <v>3</v>
      </c>
      <c r="AX226" s="1" t="s">
        <v>445</v>
      </c>
      <c r="AY226" s="1">
        <v>2</v>
      </c>
      <c r="BA226" s="184" t="s">
        <v>34</v>
      </c>
      <c r="BB226" s="1" t="s">
        <v>34</v>
      </c>
      <c r="BK226" s="167"/>
      <c r="BU226" s="167"/>
      <c r="CE226" s="167"/>
    </row>
    <row r="227" spans="1:87" hidden="1">
      <c r="A227" s="4">
        <v>226</v>
      </c>
      <c r="B227" s="171">
        <v>29117</v>
      </c>
      <c r="C227" s="188" t="s">
        <v>247</v>
      </c>
      <c r="D227" s="1" t="s">
        <v>418</v>
      </c>
      <c r="E227" s="1">
        <f t="shared" ca="1" si="15"/>
        <v>45</v>
      </c>
      <c r="F227" s="1">
        <f t="shared" si="16"/>
        <v>43</v>
      </c>
      <c r="G227" s="1" t="s">
        <v>419</v>
      </c>
      <c r="H227" s="1" t="s">
        <v>12</v>
      </c>
      <c r="I227" s="1" t="s">
        <v>12</v>
      </c>
      <c r="J227" s="1">
        <v>187</v>
      </c>
      <c r="K227" s="1">
        <v>72</v>
      </c>
      <c r="M227" s="1">
        <v>0</v>
      </c>
      <c r="N227" s="1">
        <v>0</v>
      </c>
      <c r="O227" s="1">
        <v>0</v>
      </c>
      <c r="AF227" s="167"/>
      <c r="AK227" s="167"/>
      <c r="AV227" s="168">
        <v>44959</v>
      </c>
      <c r="AW227" s="1">
        <f t="shared" ca="1" si="14"/>
        <v>2</v>
      </c>
      <c r="AX227" s="1" t="s">
        <v>445</v>
      </c>
      <c r="BA227" s="184" t="s">
        <v>34</v>
      </c>
      <c r="BB227" s="1" t="s">
        <v>34</v>
      </c>
      <c r="BK227" s="167"/>
      <c r="BU227" s="167"/>
      <c r="CE227" s="167"/>
    </row>
    <row r="228" spans="1:87" hidden="1">
      <c r="A228" s="4">
        <v>227</v>
      </c>
      <c r="B228" s="171">
        <v>30883</v>
      </c>
      <c r="C228" s="188" t="s">
        <v>247</v>
      </c>
      <c r="D228" s="1" t="s">
        <v>170</v>
      </c>
      <c r="E228" s="1">
        <f t="shared" ca="1" si="15"/>
        <v>41</v>
      </c>
      <c r="G228" s="1" t="s">
        <v>5</v>
      </c>
      <c r="AF228" s="167"/>
      <c r="AK228" s="167"/>
      <c r="AW228" s="1">
        <f t="shared" ca="1" si="14"/>
        <v>125</v>
      </c>
      <c r="AX228" s="1" t="s">
        <v>63</v>
      </c>
      <c r="BA228" s="184"/>
      <c r="BK228" s="167"/>
      <c r="BU228" s="167"/>
      <c r="CE228" s="167"/>
      <c r="CG228" s="1">
        <v>1</v>
      </c>
    </row>
    <row r="229" spans="1:87" hidden="1">
      <c r="A229" s="4">
        <v>228</v>
      </c>
      <c r="B229" s="171">
        <v>22204</v>
      </c>
      <c r="C229" s="188" t="s">
        <v>247</v>
      </c>
      <c r="D229" s="1" t="s">
        <v>418</v>
      </c>
      <c r="E229" s="1">
        <f t="shared" ca="1" si="15"/>
        <v>64</v>
      </c>
      <c r="F229" s="1">
        <f t="shared" si="16"/>
        <v>58</v>
      </c>
      <c r="G229" s="1" t="s">
        <v>5</v>
      </c>
      <c r="H229" s="1" t="s">
        <v>13</v>
      </c>
      <c r="I229" s="1" t="s">
        <v>12</v>
      </c>
      <c r="J229" s="1">
        <v>1.7</v>
      </c>
      <c r="K229" s="1">
        <v>70</v>
      </c>
      <c r="M229" s="1">
        <v>0</v>
      </c>
      <c r="N229" s="1">
        <v>1</v>
      </c>
      <c r="O229" s="1">
        <v>0</v>
      </c>
      <c r="P229" s="1">
        <v>70</v>
      </c>
      <c r="Q229" s="1">
        <v>35</v>
      </c>
      <c r="R229" s="1">
        <v>698</v>
      </c>
      <c r="S229" s="1">
        <v>5</v>
      </c>
      <c r="T229" s="1">
        <v>90</v>
      </c>
      <c r="U229" s="1">
        <v>145</v>
      </c>
      <c r="V229" s="1">
        <v>38</v>
      </c>
      <c r="AC229" s="1" t="s">
        <v>83</v>
      </c>
      <c r="AF229" s="167"/>
      <c r="AK229" s="167"/>
      <c r="AL229" s="1" t="s">
        <v>438</v>
      </c>
      <c r="AR229" s="1" t="s">
        <v>440</v>
      </c>
      <c r="AV229" s="168">
        <v>43466</v>
      </c>
      <c r="AW229" s="1">
        <f t="shared" ca="1" si="14"/>
        <v>6</v>
      </c>
      <c r="AX229" s="1" t="s">
        <v>63</v>
      </c>
      <c r="BA229" s="184"/>
      <c r="BK229" s="167"/>
      <c r="BU229" s="167"/>
      <c r="CE229" s="167"/>
    </row>
    <row r="230" spans="1:87" hidden="1">
      <c r="A230" s="4">
        <v>229</v>
      </c>
      <c r="B230" s="171">
        <v>31680</v>
      </c>
      <c r="C230" s="188" t="s">
        <v>247</v>
      </c>
      <c r="D230" s="1" t="s">
        <v>170</v>
      </c>
      <c r="E230" s="1">
        <f t="shared" ca="1" si="15"/>
        <v>38</v>
      </c>
      <c r="F230" s="1">
        <f t="shared" si="16"/>
        <v>25</v>
      </c>
      <c r="G230" s="1" t="s">
        <v>5</v>
      </c>
      <c r="H230" s="1" t="s">
        <v>12</v>
      </c>
      <c r="I230" s="1" t="s">
        <v>12</v>
      </c>
      <c r="M230" s="1">
        <v>0</v>
      </c>
      <c r="N230" s="1">
        <v>0</v>
      </c>
      <c r="O230" s="1">
        <v>0</v>
      </c>
      <c r="P230" s="1">
        <v>30</v>
      </c>
      <c r="Q230" s="1">
        <v>38</v>
      </c>
      <c r="R230" s="1">
        <v>16</v>
      </c>
      <c r="S230" s="1">
        <v>6</v>
      </c>
      <c r="T230" s="1">
        <v>79</v>
      </c>
      <c r="U230" s="1">
        <v>169</v>
      </c>
      <c r="V230" s="1">
        <v>34.5</v>
      </c>
      <c r="AB230" s="1" t="s">
        <v>106</v>
      </c>
      <c r="AC230" s="1" t="s">
        <v>106</v>
      </c>
      <c r="AF230" s="167"/>
      <c r="AH230" s="1" t="s">
        <v>110</v>
      </c>
      <c r="AK230" s="167"/>
      <c r="AV230" s="168">
        <v>40909</v>
      </c>
      <c r="AW230" s="1">
        <f t="shared" ca="1" si="14"/>
        <v>13</v>
      </c>
      <c r="AX230" s="1" t="s">
        <v>63</v>
      </c>
      <c r="AY230" s="1">
        <v>7.9</v>
      </c>
      <c r="BA230" s="184" t="s">
        <v>10</v>
      </c>
      <c r="BB230" s="1" t="s">
        <v>448</v>
      </c>
      <c r="BC230" s="1" t="s">
        <v>480</v>
      </c>
      <c r="BD230" s="1">
        <v>1</v>
      </c>
      <c r="BK230" s="167"/>
      <c r="BU230" s="167"/>
      <c r="CE230" s="167"/>
    </row>
    <row r="231" spans="1:87" hidden="1">
      <c r="A231" s="4">
        <v>230</v>
      </c>
      <c r="B231" s="171">
        <v>33715</v>
      </c>
      <c r="C231" s="188" t="s">
        <v>247</v>
      </c>
      <c r="D231" s="1" t="s">
        <v>170</v>
      </c>
      <c r="E231" s="1">
        <f t="shared" ca="1" si="15"/>
        <v>33</v>
      </c>
      <c r="F231" s="1">
        <f t="shared" si="16"/>
        <v>20</v>
      </c>
      <c r="G231" s="1" t="s">
        <v>8</v>
      </c>
      <c r="H231" s="1" t="s">
        <v>12</v>
      </c>
      <c r="I231" s="1" t="s">
        <v>12</v>
      </c>
      <c r="J231" s="1">
        <v>159</v>
      </c>
      <c r="K231" s="1">
        <v>51</v>
      </c>
      <c r="M231" s="1">
        <v>0</v>
      </c>
      <c r="N231" s="1">
        <v>0</v>
      </c>
      <c r="O231" s="1">
        <v>0</v>
      </c>
      <c r="P231" s="1">
        <v>111</v>
      </c>
      <c r="Q231" s="1">
        <v>124</v>
      </c>
      <c r="R231" s="1">
        <v>43</v>
      </c>
      <c r="S231" s="1">
        <v>8</v>
      </c>
      <c r="U231" s="1">
        <v>92</v>
      </c>
      <c r="AF231" s="167"/>
      <c r="AK231" s="167"/>
      <c r="AV231" s="168">
        <v>41275</v>
      </c>
      <c r="AW231" s="1">
        <f t="shared" ca="1" si="14"/>
        <v>12</v>
      </c>
      <c r="AX231" s="1" t="s">
        <v>445</v>
      </c>
      <c r="BA231" s="184"/>
      <c r="BK231" s="167"/>
      <c r="BU231" s="167"/>
      <c r="CE231" s="167"/>
    </row>
    <row r="232" spans="1:87" hidden="1">
      <c r="A232" s="4">
        <v>231</v>
      </c>
      <c r="B232" s="171">
        <v>29786</v>
      </c>
      <c r="C232" s="188" t="s">
        <v>247</v>
      </c>
      <c r="D232" s="1" t="s">
        <v>418</v>
      </c>
      <c r="E232" s="1">
        <f t="shared" ca="1" si="15"/>
        <v>44</v>
      </c>
      <c r="F232" s="1">
        <f t="shared" si="16"/>
        <v>42</v>
      </c>
      <c r="G232" s="1" t="s">
        <v>419</v>
      </c>
      <c r="H232" s="1" t="s">
        <v>12</v>
      </c>
      <c r="I232" s="1" t="s">
        <v>12</v>
      </c>
      <c r="K232" s="1">
        <v>75</v>
      </c>
      <c r="M232" s="1">
        <v>0</v>
      </c>
      <c r="N232" s="1">
        <v>0</v>
      </c>
      <c r="O232" s="1">
        <v>0</v>
      </c>
      <c r="P232" s="1">
        <v>110</v>
      </c>
      <c r="Q232" s="1">
        <v>143</v>
      </c>
      <c r="R232" s="1">
        <v>43</v>
      </c>
      <c r="S232" s="1">
        <v>5</v>
      </c>
      <c r="T232" s="1">
        <v>91</v>
      </c>
      <c r="U232" s="1">
        <v>410</v>
      </c>
      <c r="Z232" s="1">
        <v>0</v>
      </c>
      <c r="AA232" s="1">
        <v>0</v>
      </c>
      <c r="AF232" s="167"/>
      <c r="AK232" s="167"/>
      <c r="AV232" s="168">
        <v>45222</v>
      </c>
      <c r="AW232" s="1">
        <f t="shared" ca="1" si="14"/>
        <v>1</v>
      </c>
      <c r="AX232" s="1" t="s">
        <v>445</v>
      </c>
      <c r="BA232" s="184"/>
      <c r="BK232" s="167"/>
      <c r="BU232" s="167"/>
      <c r="CE232" s="167"/>
      <c r="CI232" s="15" t="s">
        <v>257</v>
      </c>
    </row>
    <row r="233" spans="1:87" hidden="1">
      <c r="A233" s="4">
        <v>232</v>
      </c>
      <c r="B233" s="171">
        <v>37044</v>
      </c>
      <c r="C233" s="188" t="s">
        <v>247</v>
      </c>
      <c r="D233" s="1" t="s">
        <v>418</v>
      </c>
      <c r="E233" s="1">
        <f t="shared" ca="1" si="15"/>
        <v>24</v>
      </c>
      <c r="F233" s="1">
        <f t="shared" si="16"/>
        <v>22</v>
      </c>
      <c r="G233" s="1" t="s">
        <v>419</v>
      </c>
      <c r="H233" s="1" t="s">
        <v>12</v>
      </c>
      <c r="I233" s="1" t="s">
        <v>12</v>
      </c>
      <c r="K233" s="1">
        <v>72</v>
      </c>
      <c r="M233" s="1">
        <v>0</v>
      </c>
      <c r="N233" s="1">
        <v>0</v>
      </c>
      <c r="O233" s="1">
        <v>0</v>
      </c>
      <c r="P233" s="1">
        <v>20</v>
      </c>
      <c r="Q233" s="1">
        <v>15</v>
      </c>
      <c r="R233" s="1">
        <v>12</v>
      </c>
      <c r="S233" s="1">
        <v>6</v>
      </c>
      <c r="X233" s="1">
        <v>0</v>
      </c>
      <c r="Z233" s="1">
        <v>0</v>
      </c>
      <c r="AA233" s="1">
        <v>0</v>
      </c>
      <c r="AC233" s="1" t="s">
        <v>110</v>
      </c>
      <c r="AF233" s="167"/>
      <c r="AK233" s="167"/>
      <c r="AL233" s="1" t="s">
        <v>437</v>
      </c>
      <c r="AV233" s="168">
        <v>45170</v>
      </c>
      <c r="AW233" s="1">
        <f t="shared" ca="1" si="14"/>
        <v>1</v>
      </c>
      <c r="AX233" s="1" t="s">
        <v>445</v>
      </c>
      <c r="AY233" s="1">
        <v>0</v>
      </c>
      <c r="AZ233" s="1">
        <v>1</v>
      </c>
      <c r="BA233" s="184"/>
      <c r="BK233" s="167"/>
      <c r="BU233" s="167"/>
      <c r="CE233" s="167"/>
      <c r="CF233" s="1" t="s">
        <v>313</v>
      </c>
      <c r="CG233" s="1">
        <v>1</v>
      </c>
      <c r="CI233" s="15" t="s">
        <v>404</v>
      </c>
    </row>
    <row r="234" spans="1:87" hidden="1">
      <c r="A234" s="4">
        <v>233</v>
      </c>
      <c r="B234" s="171">
        <v>29048</v>
      </c>
      <c r="C234" s="188" t="s">
        <v>247</v>
      </c>
      <c r="D234" s="1" t="s">
        <v>418</v>
      </c>
      <c r="E234" s="1">
        <f t="shared" ca="1" si="15"/>
        <v>46</v>
      </c>
      <c r="F234" s="1">
        <f t="shared" si="16"/>
        <v>44</v>
      </c>
      <c r="G234" s="1" t="s">
        <v>8</v>
      </c>
      <c r="H234" s="1" t="s">
        <v>12</v>
      </c>
      <c r="I234" s="1" t="s">
        <v>14</v>
      </c>
      <c r="J234" s="1">
        <v>185</v>
      </c>
      <c r="K234" s="1">
        <v>92</v>
      </c>
      <c r="M234" s="1">
        <v>0</v>
      </c>
      <c r="N234" s="1">
        <v>0</v>
      </c>
      <c r="O234" s="1">
        <v>0</v>
      </c>
      <c r="P234" s="1">
        <v>28</v>
      </c>
      <c r="Q234" s="1">
        <v>42</v>
      </c>
      <c r="R234" s="1">
        <v>100</v>
      </c>
      <c r="S234" s="1">
        <v>10</v>
      </c>
      <c r="U234" s="1">
        <v>255</v>
      </c>
      <c r="W234" s="1">
        <v>2575</v>
      </c>
      <c r="Y234" s="1">
        <v>0</v>
      </c>
      <c r="Z234" s="1">
        <v>0</v>
      </c>
      <c r="AA234" s="1">
        <v>0</v>
      </c>
      <c r="AC234" s="1" t="s">
        <v>110</v>
      </c>
      <c r="AF234" s="167"/>
      <c r="AK234" s="167"/>
      <c r="AL234" s="1" t="s">
        <v>437</v>
      </c>
      <c r="AQ234" s="169"/>
      <c r="AV234" s="168">
        <v>45296</v>
      </c>
      <c r="AW234" s="1">
        <f t="shared" ca="1" si="14"/>
        <v>1</v>
      </c>
      <c r="AX234" s="1" t="s">
        <v>445</v>
      </c>
      <c r="AY234" s="1">
        <v>1.7</v>
      </c>
      <c r="BA234" s="184" t="s">
        <v>34</v>
      </c>
      <c r="BB234" s="1" t="s">
        <v>34</v>
      </c>
      <c r="BK234" s="167"/>
      <c r="BU234" s="167"/>
      <c r="CE234" s="167"/>
      <c r="CI234" s="15" t="s">
        <v>257</v>
      </c>
    </row>
    <row r="235" spans="1:87" hidden="1">
      <c r="A235" s="4">
        <v>234</v>
      </c>
      <c r="B235" s="171">
        <v>32866</v>
      </c>
      <c r="C235" s="188" t="s">
        <v>247</v>
      </c>
      <c r="D235" s="1" t="s">
        <v>418</v>
      </c>
      <c r="E235" s="1">
        <f t="shared" ca="1" si="15"/>
        <v>35</v>
      </c>
      <c r="F235" s="1">
        <f t="shared" si="16"/>
        <v>34</v>
      </c>
      <c r="G235" s="1" t="s">
        <v>8</v>
      </c>
      <c r="H235" s="1" t="s">
        <v>12</v>
      </c>
      <c r="I235" s="1" t="s">
        <v>14</v>
      </c>
      <c r="J235" s="1">
        <v>1.72</v>
      </c>
      <c r="K235" s="1">
        <v>62</v>
      </c>
      <c r="M235" s="1">
        <v>0</v>
      </c>
      <c r="N235" s="1">
        <v>0</v>
      </c>
      <c r="O235" s="1">
        <v>0</v>
      </c>
      <c r="P235" s="1">
        <v>91</v>
      </c>
      <c r="Q235" s="1">
        <v>160</v>
      </c>
      <c r="R235" s="1">
        <v>86</v>
      </c>
      <c r="S235" s="1">
        <v>6</v>
      </c>
      <c r="T235" s="1" t="s">
        <v>159</v>
      </c>
      <c r="U235" s="1">
        <v>132</v>
      </c>
      <c r="V235" s="1" t="s">
        <v>159</v>
      </c>
      <c r="W235" s="1">
        <v>3796</v>
      </c>
      <c r="X235" s="1">
        <v>0</v>
      </c>
      <c r="Y235" s="1">
        <v>2.4300000000000002</v>
      </c>
      <c r="Z235" s="1">
        <v>0</v>
      </c>
      <c r="AA235" s="1">
        <v>0</v>
      </c>
      <c r="AB235" s="166" t="s">
        <v>91</v>
      </c>
      <c r="AC235" s="1" t="s">
        <v>110</v>
      </c>
      <c r="AF235" s="167">
        <v>1</v>
      </c>
      <c r="AG235" s="166"/>
      <c r="AH235" s="1" t="s">
        <v>106</v>
      </c>
      <c r="AK235" s="167"/>
      <c r="AL235" s="1" t="s">
        <v>437</v>
      </c>
      <c r="AN235" s="1" t="s">
        <v>437</v>
      </c>
      <c r="AO235" s="1" t="s">
        <v>437</v>
      </c>
      <c r="AP235" s="1" t="s">
        <v>437</v>
      </c>
      <c r="AQ235" s="1" t="s">
        <v>437</v>
      </c>
      <c r="AR235" s="1" t="s">
        <v>437</v>
      </c>
      <c r="AS235" s="1" t="s">
        <v>437</v>
      </c>
      <c r="AT235" s="1" t="s">
        <v>437</v>
      </c>
      <c r="AU235" s="1" t="s">
        <v>437</v>
      </c>
      <c r="AV235" s="168">
        <v>45518</v>
      </c>
      <c r="AW235" s="1">
        <f t="shared" ca="1" si="14"/>
        <v>0</v>
      </c>
      <c r="AX235" s="1" t="s">
        <v>31</v>
      </c>
      <c r="AY235" s="1">
        <v>5.38</v>
      </c>
      <c r="BA235" s="184" t="s">
        <v>34</v>
      </c>
      <c r="BB235" s="1" t="s">
        <v>34</v>
      </c>
      <c r="BC235" s="1">
        <v>0</v>
      </c>
      <c r="BD235" s="1">
        <v>0</v>
      </c>
      <c r="BK235" s="167">
        <v>0</v>
      </c>
      <c r="BN235" s="1" t="s">
        <v>482</v>
      </c>
      <c r="BU235" s="167"/>
      <c r="BX235" s="1" t="s">
        <v>482</v>
      </c>
      <c r="BY235" s="1">
        <v>0</v>
      </c>
      <c r="CE235" s="167">
        <v>0</v>
      </c>
    </row>
    <row r="236" spans="1:87" hidden="1">
      <c r="A236" s="4">
        <v>235</v>
      </c>
      <c r="B236" s="171">
        <v>29534</v>
      </c>
      <c r="C236" s="188" t="s">
        <v>256</v>
      </c>
      <c r="D236" s="1" t="s">
        <v>418</v>
      </c>
      <c r="E236" s="1">
        <f t="shared" ca="1" si="15"/>
        <v>44</v>
      </c>
      <c r="F236" s="1">
        <f t="shared" si="16"/>
        <v>44</v>
      </c>
      <c r="G236" s="1" t="s">
        <v>8</v>
      </c>
      <c r="H236" s="1" t="s">
        <v>12</v>
      </c>
      <c r="I236" s="1" t="s">
        <v>12</v>
      </c>
      <c r="J236" s="1">
        <v>174</v>
      </c>
      <c r="K236" s="1">
        <v>74</v>
      </c>
      <c r="M236" s="1">
        <v>0</v>
      </c>
      <c r="N236" s="1">
        <v>0</v>
      </c>
      <c r="O236" s="1">
        <v>0</v>
      </c>
      <c r="P236" s="1">
        <v>28</v>
      </c>
      <c r="Q236" s="1">
        <v>23</v>
      </c>
      <c r="R236" s="1">
        <v>87</v>
      </c>
      <c r="S236" s="1">
        <v>15</v>
      </c>
      <c r="W236" s="1">
        <v>3755</v>
      </c>
      <c r="Y236" s="1">
        <v>641</v>
      </c>
      <c r="Z236" s="1">
        <v>0</v>
      </c>
      <c r="AA236" s="1">
        <v>0</v>
      </c>
      <c r="AC236" s="1" t="s">
        <v>91</v>
      </c>
      <c r="AF236" s="167"/>
      <c r="AK236" s="167"/>
      <c r="AL236" s="1" t="s">
        <v>437</v>
      </c>
      <c r="AV236" s="168">
        <v>45680</v>
      </c>
      <c r="AW236" s="1">
        <f t="shared" ca="1" si="14"/>
        <v>0</v>
      </c>
      <c r="AX236" s="1" t="s">
        <v>445</v>
      </c>
      <c r="AY236" s="1">
        <v>0</v>
      </c>
      <c r="BA236" s="184" t="s">
        <v>34</v>
      </c>
      <c r="BB236" s="1" t="s">
        <v>34</v>
      </c>
      <c r="BK236" s="167"/>
      <c r="BU236" s="167"/>
      <c r="CE236" s="167"/>
    </row>
    <row r="237" spans="1:87" hidden="1">
      <c r="A237" s="4">
        <v>236</v>
      </c>
      <c r="B237" s="196">
        <v>32764</v>
      </c>
      <c r="C237" s="1" t="s">
        <v>247</v>
      </c>
      <c r="D237" s="1" t="s">
        <v>170</v>
      </c>
      <c r="E237" s="1">
        <f t="shared" ca="1" si="15"/>
        <v>35</v>
      </c>
      <c r="G237" s="1" t="s">
        <v>419</v>
      </c>
      <c r="AW237" s="1">
        <f t="shared" ca="1" si="14"/>
        <v>125</v>
      </c>
      <c r="AX237" s="1" t="s">
        <v>63</v>
      </c>
      <c r="BA237" s="184"/>
    </row>
    <row r="238" spans="1:87" hidden="1">
      <c r="A238" s="4">
        <v>237</v>
      </c>
      <c r="B238" s="196">
        <v>29620</v>
      </c>
      <c r="C238" s="1" t="s">
        <v>247</v>
      </c>
      <c r="D238" s="1" t="s">
        <v>170</v>
      </c>
      <c r="E238" s="1">
        <f t="shared" ca="1" si="15"/>
        <v>44</v>
      </c>
      <c r="F238" s="1">
        <f t="shared" ref="F238:F247" si="17">DATEDIF(B238,AV238,"Y")</f>
        <v>44</v>
      </c>
      <c r="G238" s="1" t="s">
        <v>8</v>
      </c>
      <c r="H238" s="1" t="s">
        <v>12</v>
      </c>
      <c r="I238" s="1" t="s">
        <v>12</v>
      </c>
      <c r="J238" s="1">
        <v>171</v>
      </c>
      <c r="K238" s="1">
        <v>94</v>
      </c>
      <c r="M238" s="1">
        <v>0</v>
      </c>
      <c r="N238" s="1">
        <v>0</v>
      </c>
      <c r="O238" s="1">
        <v>0</v>
      </c>
      <c r="P238" s="1">
        <v>22</v>
      </c>
      <c r="Q238" s="1">
        <v>16</v>
      </c>
      <c r="R238" s="1">
        <v>29</v>
      </c>
      <c r="S238" s="1">
        <v>4</v>
      </c>
      <c r="T238" s="1">
        <v>94</v>
      </c>
      <c r="U238" s="1">
        <v>333</v>
      </c>
      <c r="W238" s="1">
        <v>4504</v>
      </c>
      <c r="Y238" s="1">
        <v>6427</v>
      </c>
      <c r="Z238" s="1">
        <v>0</v>
      </c>
      <c r="AA238" s="1">
        <v>0</v>
      </c>
      <c r="AC238" s="1" t="s">
        <v>91</v>
      </c>
      <c r="AL238" s="1" t="s">
        <v>437</v>
      </c>
      <c r="AV238" s="168">
        <v>45720</v>
      </c>
      <c r="AW238" s="1">
        <f t="shared" ca="1" si="14"/>
        <v>0</v>
      </c>
      <c r="AX238" s="1" t="s">
        <v>445</v>
      </c>
      <c r="AY238" s="1">
        <v>0</v>
      </c>
      <c r="BA238" s="184" t="s">
        <v>356</v>
      </c>
      <c r="BB238" s="1" t="s">
        <v>34</v>
      </c>
    </row>
    <row r="239" spans="1:87" hidden="1">
      <c r="A239" s="4">
        <v>238</v>
      </c>
      <c r="B239" s="196">
        <v>28721</v>
      </c>
      <c r="C239" s="1" t="s">
        <v>256</v>
      </c>
      <c r="D239" s="1" t="s">
        <v>418</v>
      </c>
      <c r="E239" s="1">
        <f t="shared" ca="1" si="15"/>
        <v>46</v>
      </c>
      <c r="F239" s="1">
        <f t="shared" si="17"/>
        <v>40</v>
      </c>
      <c r="G239" s="1" t="s">
        <v>8</v>
      </c>
      <c r="H239" s="1" t="s">
        <v>12</v>
      </c>
      <c r="I239" s="1" t="s">
        <v>12</v>
      </c>
      <c r="J239" s="1">
        <v>169</v>
      </c>
      <c r="K239" s="1">
        <v>65</v>
      </c>
      <c r="M239" s="1">
        <v>0</v>
      </c>
      <c r="N239" s="1">
        <v>0</v>
      </c>
      <c r="O239" s="1">
        <v>0</v>
      </c>
      <c r="P239" s="1">
        <v>119</v>
      </c>
      <c r="Q239" s="1">
        <v>104</v>
      </c>
      <c r="R239" s="1">
        <v>458</v>
      </c>
      <c r="S239" s="1">
        <v>13</v>
      </c>
      <c r="T239" s="1">
        <v>76</v>
      </c>
      <c r="U239" s="1">
        <v>188</v>
      </c>
      <c r="V239" s="1">
        <v>37</v>
      </c>
      <c r="W239" s="1">
        <v>5434</v>
      </c>
      <c r="X239" s="1">
        <v>1</v>
      </c>
      <c r="Y239" s="1">
        <v>29</v>
      </c>
      <c r="Z239" s="1">
        <v>0</v>
      </c>
      <c r="AA239" s="1">
        <v>0</v>
      </c>
      <c r="AC239" s="1" t="s">
        <v>83</v>
      </c>
      <c r="AF239" s="167"/>
      <c r="AK239" s="167"/>
      <c r="AL239" s="1" t="s">
        <v>438</v>
      </c>
      <c r="AM239" s="1" t="s">
        <v>84</v>
      </c>
      <c r="AR239" s="1" t="s">
        <v>438</v>
      </c>
      <c r="AV239" s="168">
        <v>43466</v>
      </c>
      <c r="AW239" s="1">
        <f t="shared" ca="1" si="14"/>
        <v>6</v>
      </c>
      <c r="AX239" s="1" t="s">
        <v>445</v>
      </c>
      <c r="AY239" s="1">
        <v>6.51</v>
      </c>
      <c r="BA239" s="184" t="s">
        <v>356</v>
      </c>
      <c r="BB239" s="1" t="s">
        <v>446</v>
      </c>
      <c r="BD239" s="1">
        <v>1</v>
      </c>
      <c r="BE239" s="1">
        <v>1</v>
      </c>
      <c r="BJ239" s="1">
        <v>1</v>
      </c>
      <c r="BK239" s="167" t="s">
        <v>467</v>
      </c>
      <c r="BU239" s="167"/>
      <c r="CE239" s="167"/>
    </row>
    <row r="240" spans="1:87" hidden="1">
      <c r="A240" s="4">
        <v>239</v>
      </c>
      <c r="B240" s="196">
        <v>27041</v>
      </c>
      <c r="C240" s="1" t="s">
        <v>247</v>
      </c>
      <c r="D240" s="1" t="s">
        <v>418</v>
      </c>
      <c r="E240" s="1">
        <f t="shared" ca="1" si="15"/>
        <v>51</v>
      </c>
      <c r="F240" s="1">
        <f t="shared" si="17"/>
        <v>51</v>
      </c>
      <c r="G240" s="1" t="s">
        <v>8</v>
      </c>
      <c r="H240" s="1" t="s">
        <v>12</v>
      </c>
      <c r="I240" s="1" t="s">
        <v>12</v>
      </c>
      <c r="J240" s="1">
        <v>182</v>
      </c>
      <c r="K240" s="1">
        <v>65</v>
      </c>
      <c r="M240" s="1">
        <v>1</v>
      </c>
      <c r="N240" s="1">
        <v>0</v>
      </c>
      <c r="O240" s="1">
        <v>0</v>
      </c>
      <c r="P240" s="1">
        <v>73</v>
      </c>
      <c r="Q240" s="1">
        <v>46</v>
      </c>
      <c r="R240" s="1">
        <v>150</v>
      </c>
      <c r="S240" s="1">
        <v>23</v>
      </c>
      <c r="T240" s="1">
        <v>64</v>
      </c>
      <c r="U240" s="1">
        <v>115</v>
      </c>
      <c r="W240" s="1">
        <v>0.85</v>
      </c>
      <c r="X240" s="1">
        <v>0</v>
      </c>
      <c r="Y240" s="1">
        <v>0</v>
      </c>
      <c r="AA240" s="1">
        <v>1</v>
      </c>
      <c r="AC240" s="1" t="s">
        <v>106</v>
      </c>
      <c r="AF240" s="167"/>
      <c r="AK240" s="167"/>
      <c r="AL240" s="1" t="s">
        <v>437</v>
      </c>
      <c r="AV240" s="168">
        <v>45717</v>
      </c>
      <c r="AW240" s="1">
        <f t="shared" ca="1" si="14"/>
        <v>0</v>
      </c>
      <c r="AX240" s="1" t="s">
        <v>444</v>
      </c>
      <c r="AY240" s="1">
        <v>0</v>
      </c>
      <c r="BA240" s="184" t="s">
        <v>356</v>
      </c>
      <c r="BB240" s="1" t="s">
        <v>34</v>
      </c>
      <c r="BK240" s="167"/>
      <c r="BU240" s="167"/>
      <c r="CE240" s="167"/>
    </row>
    <row r="241" spans="1:88">
      <c r="A241" s="4">
        <v>240</v>
      </c>
      <c r="B241" s="171">
        <v>32030</v>
      </c>
      <c r="C241" s="173" t="s">
        <v>138</v>
      </c>
      <c r="D241" s="1" t="s">
        <v>418</v>
      </c>
      <c r="E241" s="1">
        <f t="shared" ca="1" si="15"/>
        <v>37</v>
      </c>
      <c r="F241" s="1">
        <f t="shared" si="17"/>
        <v>22</v>
      </c>
      <c r="G241" s="1" t="s">
        <v>8</v>
      </c>
      <c r="H241" s="1" t="s">
        <v>12</v>
      </c>
      <c r="I241" s="1" t="s">
        <v>12</v>
      </c>
      <c r="J241" s="1">
        <v>175</v>
      </c>
      <c r="K241" s="1">
        <v>70</v>
      </c>
      <c r="M241" s="1">
        <v>0</v>
      </c>
      <c r="N241" s="1">
        <v>0</v>
      </c>
      <c r="O241" s="1">
        <v>0</v>
      </c>
      <c r="P241" s="1">
        <v>45</v>
      </c>
      <c r="Q241" s="1">
        <v>63</v>
      </c>
      <c r="R241" s="1">
        <v>74</v>
      </c>
      <c r="S241" s="1">
        <v>10</v>
      </c>
      <c r="T241" s="1">
        <v>80</v>
      </c>
      <c r="X241" s="1">
        <v>0</v>
      </c>
      <c r="Y241" s="1">
        <v>0</v>
      </c>
      <c r="Z241" s="1">
        <v>0</v>
      </c>
      <c r="AA241" s="1">
        <v>0</v>
      </c>
      <c r="AB241" s="1" t="s">
        <v>83</v>
      </c>
      <c r="AC241" s="1" t="s">
        <v>106</v>
      </c>
      <c r="AL241" s="1" t="s">
        <v>440</v>
      </c>
      <c r="AM241" s="1" t="s">
        <v>84</v>
      </c>
      <c r="AN241" s="1" t="s">
        <v>437</v>
      </c>
      <c r="AO241" s="1" t="s">
        <v>437</v>
      </c>
      <c r="AP241" s="1" t="s">
        <v>437</v>
      </c>
      <c r="AQ241" s="1" t="s">
        <v>437</v>
      </c>
      <c r="AR241" s="1" t="s">
        <v>437</v>
      </c>
      <c r="AS241" s="1" t="s">
        <v>437</v>
      </c>
      <c r="AV241" s="168">
        <v>40179</v>
      </c>
      <c r="AW241" s="1">
        <f t="shared" ca="1" si="14"/>
        <v>15</v>
      </c>
      <c r="AX241" s="1" t="s">
        <v>445</v>
      </c>
      <c r="AY241" s="1">
        <v>6.5</v>
      </c>
      <c r="BA241" s="184" t="s">
        <v>356</v>
      </c>
      <c r="BB241" s="1" t="s">
        <v>448</v>
      </c>
      <c r="BL241" s="1" t="s">
        <v>447</v>
      </c>
    </row>
    <row r="242" spans="1:88">
      <c r="A242" s="4">
        <v>241</v>
      </c>
      <c r="B242" s="171">
        <v>28696</v>
      </c>
      <c r="C242" s="173" t="s">
        <v>138</v>
      </c>
      <c r="D242" s="1" t="s">
        <v>418</v>
      </c>
      <c r="E242" s="1">
        <f t="shared" ca="1" si="15"/>
        <v>46</v>
      </c>
      <c r="F242" s="1">
        <f t="shared" si="17"/>
        <v>34</v>
      </c>
      <c r="G242" s="1" t="s">
        <v>8</v>
      </c>
      <c r="H242" s="1" t="s">
        <v>12</v>
      </c>
      <c r="I242" s="1" t="s">
        <v>12</v>
      </c>
      <c r="J242" s="1">
        <v>175</v>
      </c>
      <c r="K242" s="1">
        <v>70</v>
      </c>
      <c r="M242" s="1">
        <v>0</v>
      </c>
      <c r="N242" s="1">
        <v>0</v>
      </c>
      <c r="O242" s="1">
        <v>0</v>
      </c>
      <c r="X242" s="1">
        <v>0</v>
      </c>
      <c r="Y242" s="1" t="s">
        <v>314</v>
      </c>
      <c r="Z242" s="1">
        <v>0</v>
      </c>
      <c r="AA242" s="1">
        <v>0</v>
      </c>
      <c r="AB242" s="1" t="s">
        <v>110</v>
      </c>
      <c r="AL242" s="1" t="s">
        <v>437</v>
      </c>
      <c r="AV242" s="168">
        <v>41275</v>
      </c>
      <c r="AW242" s="1">
        <f t="shared" ca="1" si="14"/>
        <v>12</v>
      </c>
      <c r="AX242" s="1" t="s">
        <v>445</v>
      </c>
      <c r="AY242" s="1">
        <v>6.58</v>
      </c>
      <c r="BA242" s="184" t="s">
        <v>34</v>
      </c>
      <c r="BB242" s="1" t="s">
        <v>34</v>
      </c>
    </row>
    <row r="243" spans="1:88">
      <c r="A243" s="4">
        <v>242</v>
      </c>
      <c r="B243" s="171">
        <v>29862</v>
      </c>
      <c r="C243" s="173" t="s">
        <v>138</v>
      </c>
      <c r="D243" s="1" t="s">
        <v>418</v>
      </c>
      <c r="E243" s="1">
        <f t="shared" ca="1" si="15"/>
        <v>43</v>
      </c>
      <c r="F243" s="1">
        <f t="shared" si="17"/>
        <v>32</v>
      </c>
      <c r="G243" s="1" t="s">
        <v>6</v>
      </c>
      <c r="H243" s="1" t="s">
        <v>12</v>
      </c>
      <c r="I243" s="1" t="s">
        <v>12</v>
      </c>
      <c r="J243" s="1">
        <v>180</v>
      </c>
      <c r="K243" s="1">
        <v>75</v>
      </c>
      <c r="M243" s="1">
        <v>0</v>
      </c>
      <c r="N243" s="1">
        <v>0</v>
      </c>
      <c r="O243" s="1">
        <v>0</v>
      </c>
      <c r="Y243" s="1">
        <v>0</v>
      </c>
      <c r="Z243" s="1">
        <v>0</v>
      </c>
      <c r="AA243" s="1">
        <v>0</v>
      </c>
      <c r="AB243" s="1" t="s">
        <v>83</v>
      </c>
      <c r="AC243" s="1" t="s">
        <v>83</v>
      </c>
      <c r="AL243" s="1" t="s">
        <v>440</v>
      </c>
      <c r="AM243" s="1" t="s">
        <v>84</v>
      </c>
      <c r="AV243" s="168">
        <v>41640</v>
      </c>
      <c r="AW243" s="1">
        <f t="shared" ca="1" si="14"/>
        <v>11</v>
      </c>
      <c r="AX243" s="1" t="s">
        <v>445</v>
      </c>
      <c r="AY243" s="1">
        <v>5.15</v>
      </c>
      <c r="BA243" s="184" t="s">
        <v>356</v>
      </c>
      <c r="BB243" s="1" t="s">
        <v>448</v>
      </c>
      <c r="BC243" s="1">
        <v>0</v>
      </c>
      <c r="BE243" s="1">
        <v>1</v>
      </c>
      <c r="BH243" s="1">
        <v>1</v>
      </c>
      <c r="BL243" s="1" t="s">
        <v>447</v>
      </c>
    </row>
    <row r="244" spans="1:88">
      <c r="A244" s="4">
        <v>243</v>
      </c>
      <c r="B244" s="171">
        <v>26453</v>
      </c>
      <c r="C244" s="173" t="s">
        <v>138</v>
      </c>
      <c r="D244" s="1" t="s">
        <v>170</v>
      </c>
      <c r="E244" s="1">
        <f t="shared" ca="1" si="15"/>
        <v>53</v>
      </c>
      <c r="F244" s="1">
        <f t="shared" si="17"/>
        <v>43</v>
      </c>
      <c r="G244" s="1" t="s">
        <v>6</v>
      </c>
      <c r="H244" s="1" t="s">
        <v>12</v>
      </c>
      <c r="I244" s="1" t="s">
        <v>12</v>
      </c>
      <c r="J244" s="1">
        <v>165</v>
      </c>
      <c r="K244" s="1">
        <v>60</v>
      </c>
      <c r="M244" s="1">
        <v>0</v>
      </c>
      <c r="N244" s="1">
        <v>0</v>
      </c>
      <c r="O244" s="1">
        <v>0</v>
      </c>
      <c r="P244" s="1">
        <v>37</v>
      </c>
      <c r="Q244" s="1">
        <v>55</v>
      </c>
      <c r="X244" s="1">
        <v>0</v>
      </c>
      <c r="Y244" s="1">
        <v>0</v>
      </c>
      <c r="Z244" s="1">
        <v>0</v>
      </c>
      <c r="AA244" s="1">
        <v>0</v>
      </c>
      <c r="AC244" s="1" t="s">
        <v>83</v>
      </c>
      <c r="AH244" s="1" t="s">
        <v>83</v>
      </c>
      <c r="AL244" s="1" t="s">
        <v>440</v>
      </c>
      <c r="AM244" s="1" t="s">
        <v>84</v>
      </c>
      <c r="AN244" s="1" t="s">
        <v>437</v>
      </c>
      <c r="AO244" s="1" t="s">
        <v>437</v>
      </c>
      <c r="AP244" s="1" t="s">
        <v>437</v>
      </c>
      <c r="AQ244" s="1" t="s">
        <v>437</v>
      </c>
      <c r="AR244" s="1" t="s">
        <v>437</v>
      </c>
      <c r="AS244" s="1" t="s">
        <v>437</v>
      </c>
      <c r="AV244" s="168">
        <v>42370</v>
      </c>
      <c r="AW244" s="1">
        <f t="shared" ca="1" si="14"/>
        <v>9</v>
      </c>
      <c r="AX244" s="1" t="s">
        <v>445</v>
      </c>
      <c r="AY244" s="1">
        <v>6.72</v>
      </c>
      <c r="BA244" s="184" t="s">
        <v>34</v>
      </c>
      <c r="BB244" s="1" t="s">
        <v>448</v>
      </c>
      <c r="BC244" s="1">
        <v>0</v>
      </c>
      <c r="BE244" s="1">
        <v>1</v>
      </c>
      <c r="BF244" s="1">
        <v>1</v>
      </c>
      <c r="BL244" s="1" t="s">
        <v>446</v>
      </c>
      <c r="BN244" s="1" t="s">
        <v>482</v>
      </c>
    </row>
    <row r="245" spans="1:88">
      <c r="A245" s="4">
        <v>244</v>
      </c>
      <c r="B245" s="171">
        <v>29398</v>
      </c>
      <c r="C245" s="173" t="s">
        <v>138</v>
      </c>
      <c r="D245" s="1" t="s">
        <v>418</v>
      </c>
      <c r="E245" s="1">
        <f t="shared" ca="1" si="15"/>
        <v>45</v>
      </c>
      <c r="F245" s="1">
        <f t="shared" si="17"/>
        <v>32</v>
      </c>
      <c r="G245" s="1" t="s">
        <v>6</v>
      </c>
      <c r="H245" s="1" t="s">
        <v>12</v>
      </c>
      <c r="I245" s="1" t="s">
        <v>12</v>
      </c>
      <c r="J245" s="1">
        <v>175</v>
      </c>
      <c r="K245" s="1">
        <v>80</v>
      </c>
      <c r="M245" s="1">
        <v>0</v>
      </c>
      <c r="N245" s="1">
        <v>0</v>
      </c>
      <c r="O245" s="1">
        <v>0</v>
      </c>
      <c r="Y245" s="1">
        <v>0</v>
      </c>
      <c r="Z245" s="1">
        <v>0</v>
      </c>
      <c r="AA245" s="1">
        <v>0</v>
      </c>
      <c r="AC245" s="1" t="s">
        <v>106</v>
      </c>
      <c r="AL245" s="1" t="s">
        <v>437</v>
      </c>
      <c r="AV245" s="168">
        <v>41275</v>
      </c>
      <c r="AW245" s="1">
        <f t="shared" ca="1" si="14"/>
        <v>12</v>
      </c>
      <c r="AX245" s="1" t="s">
        <v>445</v>
      </c>
      <c r="AY245" s="1">
        <v>5.2</v>
      </c>
      <c r="BA245" s="184" t="s">
        <v>34</v>
      </c>
      <c r="BB245" s="1" t="s">
        <v>448</v>
      </c>
      <c r="BC245" s="1">
        <v>0</v>
      </c>
      <c r="BE245" s="1">
        <v>1</v>
      </c>
      <c r="BF245" s="1">
        <v>1</v>
      </c>
      <c r="BL245" s="1" t="s">
        <v>446</v>
      </c>
      <c r="BN245" s="1" t="s">
        <v>482</v>
      </c>
    </row>
    <row r="246" spans="1:88" ht="28.8" hidden="1">
      <c r="A246" s="4">
        <v>245</v>
      </c>
      <c r="B246" s="171">
        <v>24846</v>
      </c>
      <c r="C246" s="197" t="s">
        <v>315</v>
      </c>
      <c r="D246" s="1" t="s">
        <v>170</v>
      </c>
      <c r="E246" s="1">
        <f t="shared" ca="1" si="15"/>
        <v>57</v>
      </c>
      <c r="F246" s="1">
        <f t="shared" si="17"/>
        <v>43</v>
      </c>
      <c r="G246" s="1" t="s">
        <v>6</v>
      </c>
      <c r="H246" s="1" t="s">
        <v>12</v>
      </c>
      <c r="I246" s="1" t="s">
        <v>12</v>
      </c>
      <c r="J246" s="1">
        <v>1.53</v>
      </c>
      <c r="K246" s="1">
        <v>52</v>
      </c>
      <c r="M246" s="1">
        <v>0</v>
      </c>
      <c r="N246" s="1">
        <v>0</v>
      </c>
      <c r="O246" s="1">
        <v>0</v>
      </c>
      <c r="P246" s="1">
        <v>38</v>
      </c>
      <c r="Q246" s="1">
        <v>28</v>
      </c>
      <c r="R246" s="1">
        <v>18</v>
      </c>
      <c r="S246" s="1">
        <v>24</v>
      </c>
      <c r="T246" s="1">
        <v>60</v>
      </c>
      <c r="U246" s="1">
        <v>193</v>
      </c>
      <c r="V246" s="1">
        <v>32</v>
      </c>
      <c r="W246" s="1">
        <v>100</v>
      </c>
      <c r="X246" s="1" t="s">
        <v>316</v>
      </c>
      <c r="Y246" s="1">
        <v>0</v>
      </c>
      <c r="Z246" s="1">
        <v>0</v>
      </c>
      <c r="AA246" s="1">
        <v>0</v>
      </c>
      <c r="AB246" s="1" t="s">
        <v>106</v>
      </c>
      <c r="AC246" s="1" t="s">
        <v>83</v>
      </c>
      <c r="AM246" s="1">
        <v>2</v>
      </c>
      <c r="AN246" s="1" t="s">
        <v>438</v>
      </c>
      <c r="AO246" s="1" t="s">
        <v>439</v>
      </c>
      <c r="AP246" s="1" t="s">
        <v>437</v>
      </c>
      <c r="AQ246" s="1" t="s">
        <v>439</v>
      </c>
      <c r="AR246" s="1" t="s">
        <v>439</v>
      </c>
      <c r="AS246" s="1" t="s">
        <v>437</v>
      </c>
      <c r="AT246" s="1" t="s">
        <v>437</v>
      </c>
      <c r="AU246" s="1" t="s">
        <v>437</v>
      </c>
      <c r="AV246" s="168">
        <v>40848</v>
      </c>
      <c r="AW246" s="1">
        <f t="shared" ca="1" si="14"/>
        <v>13</v>
      </c>
      <c r="AX246" s="1" t="s">
        <v>445</v>
      </c>
      <c r="AY246" s="1">
        <v>2.5</v>
      </c>
      <c r="BA246" s="184" t="s">
        <v>356</v>
      </c>
      <c r="BB246" s="1" t="s">
        <v>34</v>
      </c>
      <c r="BC246" s="1">
        <v>0</v>
      </c>
      <c r="BD246" s="1">
        <v>0</v>
      </c>
      <c r="CI246" s="15" t="s">
        <v>317</v>
      </c>
    </row>
    <row r="247" spans="1:88" ht="28.8" hidden="1">
      <c r="A247" s="4">
        <v>246</v>
      </c>
      <c r="B247" s="171">
        <v>28296</v>
      </c>
      <c r="C247" s="197" t="s">
        <v>315</v>
      </c>
      <c r="D247" s="1" t="s">
        <v>170</v>
      </c>
      <c r="E247" s="1">
        <f t="shared" ca="1" si="15"/>
        <v>48</v>
      </c>
      <c r="F247" s="1">
        <f t="shared" si="17"/>
        <v>33</v>
      </c>
      <c r="G247" s="1" t="s">
        <v>8</v>
      </c>
      <c r="H247" s="1" t="s">
        <v>12</v>
      </c>
      <c r="I247" s="1" t="s">
        <v>12</v>
      </c>
      <c r="J247" s="1">
        <v>1.63</v>
      </c>
      <c r="K247" s="1">
        <v>75</v>
      </c>
      <c r="M247" s="1">
        <v>0</v>
      </c>
      <c r="N247" s="1">
        <v>0</v>
      </c>
      <c r="O247" s="1">
        <v>0</v>
      </c>
      <c r="P247" s="1">
        <v>205</v>
      </c>
      <c r="Q247" s="1">
        <v>286</v>
      </c>
      <c r="R247" s="1">
        <v>67</v>
      </c>
      <c r="S247" s="1">
        <v>11</v>
      </c>
      <c r="T247" s="1">
        <v>99</v>
      </c>
      <c r="W247" s="1">
        <v>1000</v>
      </c>
      <c r="X247" s="1" t="s">
        <v>318</v>
      </c>
      <c r="Y247" s="1">
        <v>465</v>
      </c>
      <c r="Z247" s="1">
        <v>0</v>
      </c>
      <c r="AA247" s="1">
        <v>0</v>
      </c>
      <c r="AB247" s="1" t="s">
        <v>91</v>
      </c>
      <c r="AC247" s="1" t="s">
        <v>91</v>
      </c>
      <c r="AH247" s="1" t="s">
        <v>128</v>
      </c>
      <c r="AL247" s="1" t="s">
        <v>437</v>
      </c>
      <c r="AV247" s="168">
        <v>40688</v>
      </c>
      <c r="AW247" s="1">
        <f t="shared" ca="1" si="14"/>
        <v>14</v>
      </c>
      <c r="AX247" s="1" t="s">
        <v>31</v>
      </c>
      <c r="AY247" s="1">
        <v>7.04</v>
      </c>
      <c r="BA247" s="184" t="s">
        <v>34</v>
      </c>
      <c r="BB247" s="1" t="s">
        <v>34</v>
      </c>
      <c r="BC247" s="1">
        <v>0</v>
      </c>
      <c r="BD247" s="1">
        <v>0</v>
      </c>
      <c r="CH247" s="1">
        <v>1</v>
      </c>
      <c r="CI247" s="15" t="s">
        <v>319</v>
      </c>
    </row>
    <row r="248" spans="1:88" hidden="1">
      <c r="A248" s="4">
        <v>247</v>
      </c>
      <c r="B248" s="171">
        <v>32409</v>
      </c>
      <c r="C248" s="197" t="s">
        <v>315</v>
      </c>
      <c r="D248" s="1" t="s">
        <v>170</v>
      </c>
      <c r="E248" s="1">
        <f t="shared" ca="1" si="15"/>
        <v>36</v>
      </c>
      <c r="G248" s="1" t="s">
        <v>8</v>
      </c>
      <c r="H248" s="1" t="s">
        <v>12</v>
      </c>
      <c r="I248" s="1" t="s">
        <v>12</v>
      </c>
      <c r="J248" s="1">
        <v>1.67</v>
      </c>
      <c r="K248" s="1">
        <v>113</v>
      </c>
      <c r="M248" s="1">
        <v>0</v>
      </c>
      <c r="N248" s="1">
        <v>0</v>
      </c>
      <c r="O248" s="1">
        <v>0</v>
      </c>
      <c r="P248" s="1">
        <v>23</v>
      </c>
      <c r="Q248" s="1">
        <v>18</v>
      </c>
      <c r="R248" s="1">
        <v>13</v>
      </c>
      <c r="S248" s="1">
        <v>6</v>
      </c>
      <c r="U248" s="1">
        <v>166</v>
      </c>
      <c r="W248" s="1">
        <v>130</v>
      </c>
      <c r="Y248" s="1">
        <v>0</v>
      </c>
      <c r="Z248" s="1">
        <v>0</v>
      </c>
      <c r="AA248" s="1">
        <v>1</v>
      </c>
      <c r="AC248" s="1" t="s">
        <v>91</v>
      </c>
      <c r="AG248" s="1">
        <v>0</v>
      </c>
      <c r="AL248" s="1" t="s">
        <v>437</v>
      </c>
      <c r="AV248" s="168" t="s">
        <v>320</v>
      </c>
      <c r="AW248" s="1" t="e">
        <f t="shared" ca="1" si="14"/>
        <v>#VALUE!</v>
      </c>
      <c r="AX248" s="1" t="s">
        <v>445</v>
      </c>
      <c r="AY248" s="1">
        <v>874</v>
      </c>
      <c r="BA248" s="184" t="s">
        <v>356</v>
      </c>
      <c r="BB248" s="1" t="s">
        <v>34</v>
      </c>
    </row>
    <row r="249" spans="1:88" hidden="1">
      <c r="A249" s="4">
        <v>248</v>
      </c>
      <c r="B249" s="171">
        <v>34780</v>
      </c>
      <c r="C249" s="197" t="s">
        <v>321</v>
      </c>
      <c r="D249" s="1" t="s">
        <v>170</v>
      </c>
      <c r="E249" s="1">
        <f t="shared" ca="1" si="15"/>
        <v>30</v>
      </c>
      <c r="F249" s="1">
        <f>DATEDIF(B249,AV249,"Y")</f>
        <v>27</v>
      </c>
      <c r="G249" s="1" t="s">
        <v>8</v>
      </c>
      <c r="H249" s="1" t="s">
        <v>12</v>
      </c>
      <c r="I249" s="1" t="s">
        <v>12</v>
      </c>
      <c r="M249" s="1">
        <v>0</v>
      </c>
      <c r="N249" s="1">
        <v>0</v>
      </c>
      <c r="O249" s="1">
        <v>0</v>
      </c>
      <c r="P249" s="1">
        <v>33</v>
      </c>
      <c r="Q249" s="1">
        <v>30</v>
      </c>
      <c r="R249" s="1">
        <v>28</v>
      </c>
      <c r="S249" s="1">
        <v>12</v>
      </c>
      <c r="U249" s="1">
        <v>252</v>
      </c>
      <c r="W249" s="1">
        <v>130</v>
      </c>
      <c r="Y249" s="1">
        <v>0</v>
      </c>
      <c r="Z249" s="1">
        <v>0</v>
      </c>
      <c r="AA249" s="1">
        <v>0</v>
      </c>
      <c r="AC249" s="1" t="s">
        <v>110</v>
      </c>
      <c r="AG249" s="1">
        <v>0</v>
      </c>
      <c r="AL249" s="1" t="s">
        <v>437</v>
      </c>
      <c r="AV249" s="168">
        <v>44682</v>
      </c>
      <c r="AW249" s="1">
        <f t="shared" ca="1" si="14"/>
        <v>3</v>
      </c>
      <c r="AX249" s="1" t="s">
        <v>445</v>
      </c>
      <c r="AY249" s="1">
        <v>5.14</v>
      </c>
      <c r="BA249" s="184" t="s">
        <v>34</v>
      </c>
      <c r="BB249" s="1" t="s">
        <v>446</v>
      </c>
      <c r="BC249" s="1" t="s">
        <v>481</v>
      </c>
    </row>
    <row r="250" spans="1:88" hidden="1">
      <c r="A250" s="4">
        <v>249</v>
      </c>
      <c r="B250" s="171">
        <v>34072</v>
      </c>
      <c r="C250" s="197" t="s">
        <v>315</v>
      </c>
      <c r="D250" s="1" t="s">
        <v>418</v>
      </c>
      <c r="E250" s="1">
        <f t="shared" ca="1" si="15"/>
        <v>32</v>
      </c>
      <c r="F250" s="1">
        <f>DATEDIF(B250,AV250,"Y")</f>
        <v>31</v>
      </c>
      <c r="G250" s="1" t="s">
        <v>8</v>
      </c>
      <c r="H250" s="1" t="s">
        <v>12</v>
      </c>
      <c r="I250" s="1" t="s">
        <v>12</v>
      </c>
      <c r="M250" s="1">
        <v>0</v>
      </c>
      <c r="N250" s="1">
        <v>0</v>
      </c>
      <c r="O250" s="1">
        <v>0</v>
      </c>
      <c r="P250" s="1">
        <v>92</v>
      </c>
      <c r="Q250" s="1">
        <v>139</v>
      </c>
      <c r="R250" s="1">
        <v>646</v>
      </c>
      <c r="S250" s="1">
        <v>44</v>
      </c>
      <c r="Y250" s="1">
        <v>32.799999999999997</v>
      </c>
      <c r="Z250" s="1">
        <v>0</v>
      </c>
      <c r="AA250" s="1">
        <v>0</v>
      </c>
      <c r="AC250" s="1" t="s">
        <v>106</v>
      </c>
      <c r="AH250" s="1" t="s">
        <v>83</v>
      </c>
      <c r="AL250" s="1" t="s">
        <v>437</v>
      </c>
      <c r="AV250" s="168">
        <v>45623</v>
      </c>
      <c r="AW250" s="1">
        <f t="shared" ca="1" si="14"/>
        <v>0</v>
      </c>
      <c r="AX250" s="1" t="s">
        <v>445</v>
      </c>
      <c r="AY250" s="1">
        <v>3.55</v>
      </c>
      <c r="BA250" s="184" t="s">
        <v>356</v>
      </c>
      <c r="BB250" s="1" t="s">
        <v>446</v>
      </c>
      <c r="BE250" s="1">
        <v>1</v>
      </c>
      <c r="BK250" s="1" t="s">
        <v>471</v>
      </c>
      <c r="CJ250" s="1" t="s">
        <v>322</v>
      </c>
    </row>
    <row r="251" spans="1:88" ht="28.8" hidden="1">
      <c r="A251" s="4">
        <v>250</v>
      </c>
      <c r="B251" s="171" t="s">
        <v>323</v>
      </c>
      <c r="C251" s="197" t="s">
        <v>315</v>
      </c>
      <c r="D251" s="1" t="s">
        <v>170</v>
      </c>
      <c r="G251" s="1" t="s">
        <v>6</v>
      </c>
      <c r="H251" s="1" t="s">
        <v>12</v>
      </c>
      <c r="I251" s="1" t="s">
        <v>12</v>
      </c>
      <c r="J251" s="1">
        <v>1.55</v>
      </c>
      <c r="K251" s="1">
        <v>70</v>
      </c>
      <c r="M251" s="1">
        <v>0</v>
      </c>
      <c r="N251" s="1">
        <v>0</v>
      </c>
      <c r="O251" s="1">
        <v>0</v>
      </c>
      <c r="P251" s="1">
        <v>73</v>
      </c>
      <c r="Q251" s="1">
        <v>87</v>
      </c>
      <c r="R251" s="1">
        <v>132</v>
      </c>
      <c r="S251" s="1">
        <v>16</v>
      </c>
      <c r="T251" s="1">
        <v>80</v>
      </c>
      <c r="U251" s="1">
        <v>132</v>
      </c>
      <c r="W251" s="1">
        <v>100</v>
      </c>
      <c r="X251" s="1">
        <v>1</v>
      </c>
      <c r="Y251" s="1">
        <v>714</v>
      </c>
      <c r="Z251" s="1">
        <v>0</v>
      </c>
      <c r="AA251" s="1">
        <v>0</v>
      </c>
      <c r="AH251" s="1" t="s">
        <v>83</v>
      </c>
      <c r="AM251" s="1">
        <v>2</v>
      </c>
      <c r="AN251" s="1" t="s">
        <v>439</v>
      </c>
      <c r="AO251" s="1" t="s">
        <v>437</v>
      </c>
      <c r="AP251" s="1" t="s">
        <v>437</v>
      </c>
      <c r="AQ251" s="1" t="s">
        <v>437</v>
      </c>
      <c r="AR251" s="1" t="s">
        <v>439</v>
      </c>
      <c r="AS251" s="1" t="s">
        <v>437</v>
      </c>
      <c r="AT251" s="1" t="s">
        <v>437</v>
      </c>
      <c r="AU251" s="1" t="s">
        <v>437</v>
      </c>
      <c r="AV251" s="168">
        <v>41691</v>
      </c>
      <c r="AW251" s="1">
        <f t="shared" ca="1" si="14"/>
        <v>11</v>
      </c>
      <c r="AX251" s="1" t="s">
        <v>445</v>
      </c>
      <c r="AY251" s="1">
        <v>714</v>
      </c>
      <c r="BA251" s="184" t="s">
        <v>356</v>
      </c>
      <c r="BB251" s="1" t="s">
        <v>34</v>
      </c>
      <c r="CI251" s="15" t="s">
        <v>324</v>
      </c>
    </row>
    <row r="252" spans="1:88" ht="28.8" hidden="1">
      <c r="A252" s="4">
        <v>251</v>
      </c>
      <c r="B252" s="171">
        <v>33129</v>
      </c>
      <c r="C252" s="197" t="s">
        <v>315</v>
      </c>
      <c r="D252" s="1" t="s">
        <v>418</v>
      </c>
      <c r="E252" s="1">
        <f t="shared" ref="E252:E283" ca="1" si="18">DATEDIF(B252,TODAY(),"Y")</f>
        <v>34</v>
      </c>
      <c r="F252" s="1">
        <f>DATEDIF(B252,AV252,"Y")</f>
        <v>32</v>
      </c>
      <c r="G252" s="1" t="s">
        <v>8</v>
      </c>
      <c r="H252" s="1" t="s">
        <v>12</v>
      </c>
      <c r="I252" s="1" t="s">
        <v>12</v>
      </c>
      <c r="M252" s="1">
        <v>0</v>
      </c>
      <c r="N252" s="1">
        <v>0</v>
      </c>
      <c r="O252" s="1">
        <v>0</v>
      </c>
      <c r="P252" s="1">
        <v>52</v>
      </c>
      <c r="Q252" s="1">
        <v>71</v>
      </c>
      <c r="X252" s="1">
        <v>0</v>
      </c>
      <c r="Z252" s="1">
        <v>0</v>
      </c>
      <c r="AA252" s="1">
        <v>0</v>
      </c>
      <c r="AC252" s="1" t="s">
        <v>91</v>
      </c>
      <c r="AH252" s="1" t="s">
        <v>83</v>
      </c>
      <c r="AL252" s="1" t="s">
        <v>437</v>
      </c>
      <c r="AV252" s="168">
        <v>44927</v>
      </c>
      <c r="AW252" s="1">
        <f t="shared" ca="1" si="14"/>
        <v>2</v>
      </c>
      <c r="AX252" s="1" t="s">
        <v>445</v>
      </c>
      <c r="BA252" s="184" t="s">
        <v>356</v>
      </c>
      <c r="BB252" s="1" t="s">
        <v>34</v>
      </c>
      <c r="BC252" s="1">
        <v>0</v>
      </c>
      <c r="BD252" s="1">
        <v>0</v>
      </c>
      <c r="CI252" s="15" t="s">
        <v>325</v>
      </c>
    </row>
    <row r="253" spans="1:88" hidden="1">
      <c r="A253" s="4">
        <v>252</v>
      </c>
      <c r="B253" s="171">
        <v>32783</v>
      </c>
      <c r="C253" s="197" t="s">
        <v>315</v>
      </c>
      <c r="D253" s="1" t="s">
        <v>170</v>
      </c>
      <c r="E253" s="1">
        <f t="shared" ca="1" si="18"/>
        <v>35</v>
      </c>
      <c r="F253" s="1">
        <f>DATEDIF(B253,AV253,"Y")</f>
        <v>24</v>
      </c>
      <c r="G253" s="1" t="s">
        <v>6</v>
      </c>
      <c r="H253" s="1" t="s">
        <v>12</v>
      </c>
      <c r="I253" s="1" t="s">
        <v>12</v>
      </c>
      <c r="J253" s="1">
        <v>1.54</v>
      </c>
      <c r="K253" s="1">
        <v>63</v>
      </c>
      <c r="M253" s="1">
        <v>0</v>
      </c>
      <c r="N253" s="1">
        <v>0</v>
      </c>
      <c r="O253" s="1">
        <v>0</v>
      </c>
      <c r="W253" s="1">
        <v>2300</v>
      </c>
      <c r="Y253" s="1">
        <v>0</v>
      </c>
      <c r="Z253" s="1">
        <v>0</v>
      </c>
      <c r="AA253" s="1">
        <v>0</v>
      </c>
      <c r="AH253" s="1" t="s">
        <v>110</v>
      </c>
      <c r="AL253" s="1" t="s">
        <v>437</v>
      </c>
      <c r="AV253" s="168">
        <v>41640</v>
      </c>
      <c r="AW253" s="1">
        <f t="shared" ca="1" si="14"/>
        <v>11</v>
      </c>
      <c r="AX253" s="1" t="s">
        <v>445</v>
      </c>
      <c r="AY253" s="1" t="s">
        <v>391</v>
      </c>
      <c r="BA253" s="184"/>
      <c r="BB253" s="1" t="s">
        <v>34</v>
      </c>
      <c r="BC253" s="1">
        <v>0</v>
      </c>
      <c r="BD253" s="1">
        <v>0</v>
      </c>
      <c r="CI253" s="15" t="s">
        <v>326</v>
      </c>
    </row>
    <row r="254" spans="1:88" hidden="1">
      <c r="A254" s="4">
        <v>253</v>
      </c>
      <c r="B254" s="171">
        <v>18762</v>
      </c>
      <c r="C254" s="198" t="s">
        <v>327</v>
      </c>
      <c r="D254" s="1" t="s">
        <v>170</v>
      </c>
      <c r="E254" s="1">
        <f t="shared" ca="1" si="18"/>
        <v>74</v>
      </c>
      <c r="G254" s="1" t="s">
        <v>5</v>
      </c>
      <c r="H254" s="1" t="s">
        <v>12</v>
      </c>
      <c r="I254" s="1" t="s">
        <v>12</v>
      </c>
      <c r="AV254" s="168" t="s">
        <v>320</v>
      </c>
      <c r="AW254" s="1" t="e">
        <f t="shared" ca="1" si="14"/>
        <v>#VALUE!</v>
      </c>
      <c r="AX254" s="1" t="s">
        <v>63</v>
      </c>
      <c r="BA254" s="184"/>
      <c r="CF254" s="1" t="s">
        <v>313</v>
      </c>
      <c r="CI254" s="15" t="s">
        <v>328</v>
      </c>
    </row>
    <row r="255" spans="1:88" hidden="1">
      <c r="A255" s="4">
        <v>254</v>
      </c>
      <c r="B255" s="171">
        <v>39087</v>
      </c>
      <c r="C255" s="198" t="s">
        <v>327</v>
      </c>
      <c r="D255" s="1" t="s">
        <v>418</v>
      </c>
      <c r="E255" s="1">
        <f t="shared" ca="1" si="18"/>
        <v>18</v>
      </c>
      <c r="F255" s="1">
        <f t="shared" ref="F255:F286" si="19">DATEDIF(B255,AV255,"Y")</f>
        <v>16</v>
      </c>
      <c r="G255" s="1" t="s">
        <v>8</v>
      </c>
      <c r="M255" s="1">
        <v>0</v>
      </c>
      <c r="N255" s="1">
        <v>0</v>
      </c>
      <c r="O255" s="1">
        <v>0</v>
      </c>
      <c r="P255" s="1">
        <v>60</v>
      </c>
      <c r="Q255" s="1">
        <v>35</v>
      </c>
      <c r="R255" s="1">
        <v>61</v>
      </c>
      <c r="S255" s="1">
        <v>15</v>
      </c>
      <c r="T255" s="1">
        <v>79</v>
      </c>
      <c r="U255" s="1">
        <v>263</v>
      </c>
      <c r="W255" s="1">
        <v>2740</v>
      </c>
      <c r="X255" s="1">
        <v>0</v>
      </c>
      <c r="Y255" s="1">
        <v>500</v>
      </c>
      <c r="Z255" s="1">
        <v>0</v>
      </c>
      <c r="AA255" s="1">
        <v>0</v>
      </c>
      <c r="AC255" s="1" t="s">
        <v>110</v>
      </c>
      <c r="AH255" s="1" t="s">
        <v>110</v>
      </c>
      <c r="AL255" s="1" t="s">
        <v>437</v>
      </c>
      <c r="AN255" s="1" t="s">
        <v>437</v>
      </c>
      <c r="AO255" s="1" t="s">
        <v>437</v>
      </c>
      <c r="AP255" s="1" t="s">
        <v>437</v>
      </c>
      <c r="AQ255" s="1" t="s">
        <v>437</v>
      </c>
      <c r="AR255" s="1" t="s">
        <v>437</v>
      </c>
      <c r="AS255" s="1" t="s">
        <v>437</v>
      </c>
      <c r="AT255" s="1" t="s">
        <v>437</v>
      </c>
      <c r="AU255" s="1" t="s">
        <v>437</v>
      </c>
      <c r="AV255" s="168">
        <v>45138</v>
      </c>
      <c r="AW255" s="1">
        <f t="shared" ca="1" si="14"/>
        <v>1</v>
      </c>
      <c r="AX255" s="1" t="s">
        <v>445</v>
      </c>
      <c r="AY255" s="1">
        <v>0</v>
      </c>
      <c r="BA255" s="184"/>
      <c r="BB255" s="1" t="s">
        <v>34</v>
      </c>
      <c r="CF255" s="1" t="s">
        <v>313</v>
      </c>
    </row>
    <row r="256" spans="1:88" ht="28.8" hidden="1">
      <c r="A256" s="4">
        <v>255</v>
      </c>
      <c r="B256" s="171">
        <v>34734</v>
      </c>
      <c r="C256" s="198" t="s">
        <v>327</v>
      </c>
      <c r="D256" s="1" t="s">
        <v>418</v>
      </c>
      <c r="E256" s="1">
        <f t="shared" ca="1" si="18"/>
        <v>30</v>
      </c>
      <c r="F256" s="1">
        <f t="shared" si="19"/>
        <v>29</v>
      </c>
      <c r="G256" s="1" t="s">
        <v>6</v>
      </c>
      <c r="M256" s="1">
        <v>0</v>
      </c>
      <c r="N256" s="1">
        <v>0</v>
      </c>
      <c r="O256" s="1">
        <v>0</v>
      </c>
      <c r="P256" s="1">
        <v>30</v>
      </c>
      <c r="Q256" s="1">
        <v>68</v>
      </c>
      <c r="R256" s="1">
        <v>27</v>
      </c>
      <c r="S256" s="1">
        <v>7.4</v>
      </c>
      <c r="T256" s="1">
        <v>104</v>
      </c>
      <c r="U256" s="1">
        <v>230</v>
      </c>
      <c r="V256" s="1">
        <v>64.900000000000006</v>
      </c>
      <c r="W256" s="1">
        <v>4410</v>
      </c>
      <c r="Y256" s="1">
        <v>0</v>
      </c>
      <c r="Z256" s="1">
        <v>0</v>
      </c>
      <c r="AA256" s="1">
        <v>0</v>
      </c>
      <c r="AC256" s="1" t="s">
        <v>91</v>
      </c>
      <c r="AE256" s="1">
        <v>0.18</v>
      </c>
      <c r="AJ256" s="1">
        <v>0.18</v>
      </c>
      <c r="AL256" s="1" t="s">
        <v>437</v>
      </c>
      <c r="AN256" s="1" t="s">
        <v>437</v>
      </c>
      <c r="AO256" s="1" t="s">
        <v>437</v>
      </c>
      <c r="AP256" s="1" t="s">
        <v>437</v>
      </c>
      <c r="AQ256" s="1" t="s">
        <v>437</v>
      </c>
      <c r="AR256" s="1" t="s">
        <v>437</v>
      </c>
      <c r="AS256" s="1" t="s">
        <v>437</v>
      </c>
      <c r="AT256" s="1" t="s">
        <v>437</v>
      </c>
      <c r="AU256" s="1" t="s">
        <v>437</v>
      </c>
      <c r="AV256" s="168">
        <v>45346</v>
      </c>
      <c r="AW256" s="1">
        <f t="shared" ca="1" si="14"/>
        <v>1</v>
      </c>
      <c r="AX256" s="1" t="s">
        <v>445</v>
      </c>
      <c r="AY256" s="1">
        <v>0</v>
      </c>
      <c r="BA256" s="184"/>
      <c r="BB256" s="1" t="s">
        <v>34</v>
      </c>
      <c r="CF256" s="1" t="s">
        <v>313</v>
      </c>
      <c r="CI256" s="15" t="s">
        <v>329</v>
      </c>
    </row>
    <row r="257" spans="1:88" hidden="1">
      <c r="A257" s="4">
        <v>256</v>
      </c>
      <c r="B257" s="171">
        <v>25988</v>
      </c>
      <c r="C257" s="188" t="s">
        <v>330</v>
      </c>
      <c r="D257" s="1" t="s">
        <v>418</v>
      </c>
      <c r="E257" s="1">
        <f t="shared" ca="1" si="18"/>
        <v>54</v>
      </c>
      <c r="F257" s="1">
        <f t="shared" si="19"/>
        <v>44</v>
      </c>
      <c r="G257" s="1" t="s">
        <v>419</v>
      </c>
      <c r="H257" s="1" t="s">
        <v>12</v>
      </c>
      <c r="I257" s="1" t="s">
        <v>14</v>
      </c>
      <c r="M257" s="1">
        <v>0</v>
      </c>
      <c r="N257" s="1">
        <v>0</v>
      </c>
      <c r="O257" s="1">
        <v>0</v>
      </c>
      <c r="P257" s="1">
        <v>50</v>
      </c>
      <c r="Q257" s="1">
        <v>64</v>
      </c>
      <c r="T257" s="1">
        <v>83</v>
      </c>
      <c r="V257" s="1">
        <v>37</v>
      </c>
      <c r="Y257" s="1">
        <v>54</v>
      </c>
      <c r="Z257" s="1">
        <v>0</v>
      </c>
      <c r="AA257" s="1">
        <v>0</v>
      </c>
      <c r="AC257" s="1" t="s">
        <v>83</v>
      </c>
      <c r="AL257" s="1" t="s">
        <v>440</v>
      </c>
      <c r="AM257" s="1" t="s">
        <v>84</v>
      </c>
      <c r="AN257" s="1" t="s">
        <v>437</v>
      </c>
      <c r="AO257" s="1" t="s">
        <v>437</v>
      </c>
      <c r="AP257" s="1" t="s">
        <v>437</v>
      </c>
      <c r="AQ257" s="1" t="s">
        <v>437</v>
      </c>
      <c r="AR257" s="1" t="s">
        <v>437</v>
      </c>
      <c r="AS257" s="1" t="s">
        <v>437</v>
      </c>
      <c r="AT257" s="1" t="s">
        <v>437</v>
      </c>
      <c r="AU257" s="1" t="s">
        <v>437</v>
      </c>
      <c r="AV257" s="168">
        <v>42370</v>
      </c>
      <c r="AW257" s="1">
        <f t="shared" ca="1" si="14"/>
        <v>9</v>
      </c>
      <c r="AX257" s="1" t="s">
        <v>444</v>
      </c>
      <c r="AY257" s="1">
        <v>5.2</v>
      </c>
      <c r="BA257" s="184" t="s">
        <v>10</v>
      </c>
      <c r="BB257" s="1" t="s">
        <v>448</v>
      </c>
      <c r="BD257" s="1">
        <v>1</v>
      </c>
      <c r="BL257" s="1" t="s">
        <v>446</v>
      </c>
      <c r="BM257" s="1" t="s">
        <v>480</v>
      </c>
      <c r="BN257" s="1" t="s">
        <v>482</v>
      </c>
    </row>
    <row r="258" spans="1:88" hidden="1">
      <c r="A258" s="4">
        <v>257</v>
      </c>
      <c r="B258" s="171">
        <v>23040</v>
      </c>
      <c r="C258" s="188" t="s">
        <v>330</v>
      </c>
      <c r="D258" s="1" t="s">
        <v>418</v>
      </c>
      <c r="E258" s="1">
        <f t="shared" ca="1" si="18"/>
        <v>62</v>
      </c>
      <c r="F258" s="1">
        <f t="shared" si="19"/>
        <v>60</v>
      </c>
      <c r="AV258" s="168">
        <v>45252</v>
      </c>
      <c r="AW258" s="1">
        <f t="shared" ca="1" si="14"/>
        <v>1</v>
      </c>
      <c r="AX258" s="1" t="s">
        <v>63</v>
      </c>
      <c r="BA258" s="184"/>
    </row>
    <row r="259" spans="1:88" hidden="1">
      <c r="A259" s="4">
        <v>258</v>
      </c>
      <c r="B259" s="171">
        <v>33970</v>
      </c>
      <c r="C259" s="199" t="s">
        <v>277</v>
      </c>
      <c r="D259" s="1" t="s">
        <v>418</v>
      </c>
      <c r="E259" s="1">
        <f t="shared" ca="1" si="18"/>
        <v>32</v>
      </c>
      <c r="F259" s="1">
        <f t="shared" si="19"/>
        <v>27</v>
      </c>
      <c r="AV259" s="168">
        <v>44084</v>
      </c>
      <c r="AW259" s="1">
        <f t="shared" ref="AW259:AW322" ca="1" si="20">DATEDIF(AV259,TODAY(),"Y")</f>
        <v>4</v>
      </c>
      <c r="AX259" s="1" t="s">
        <v>63</v>
      </c>
      <c r="BA259" s="184"/>
    </row>
    <row r="260" spans="1:88" hidden="1">
      <c r="A260" s="4">
        <v>259</v>
      </c>
      <c r="B260" s="171">
        <v>35572</v>
      </c>
      <c r="C260" s="199" t="s">
        <v>277</v>
      </c>
      <c r="D260" s="1" t="s">
        <v>418</v>
      </c>
      <c r="E260" s="1">
        <f t="shared" ca="1" si="18"/>
        <v>28</v>
      </c>
      <c r="F260" s="1">
        <f t="shared" si="19"/>
        <v>21</v>
      </c>
      <c r="G260" s="1" t="s">
        <v>9</v>
      </c>
      <c r="H260" s="1" t="s">
        <v>12</v>
      </c>
      <c r="I260" s="1" t="s">
        <v>14</v>
      </c>
      <c r="J260" s="200" t="s">
        <v>331</v>
      </c>
      <c r="K260" s="1">
        <v>101</v>
      </c>
      <c r="M260" s="1">
        <v>0</v>
      </c>
      <c r="N260" s="1">
        <v>0</v>
      </c>
      <c r="O260" s="1">
        <v>0</v>
      </c>
      <c r="P260" s="200" t="s">
        <v>331</v>
      </c>
      <c r="Z260" s="1">
        <v>0</v>
      </c>
      <c r="AA260" s="1">
        <v>0</v>
      </c>
      <c r="AB260" s="1" t="s">
        <v>83</v>
      </c>
      <c r="AL260" s="1" t="s">
        <v>439</v>
      </c>
      <c r="AM260" s="1" t="s">
        <v>84</v>
      </c>
      <c r="AN260" s="1" t="s">
        <v>437</v>
      </c>
      <c r="AO260" s="1" t="s">
        <v>437</v>
      </c>
      <c r="AP260" s="1" t="s">
        <v>437</v>
      </c>
      <c r="AQ260" s="1" t="s">
        <v>437</v>
      </c>
      <c r="AR260" s="1" t="s">
        <v>437</v>
      </c>
      <c r="AS260" s="1" t="s">
        <v>437</v>
      </c>
      <c r="AT260" s="1" t="s">
        <v>437</v>
      </c>
      <c r="AU260" s="1" t="s">
        <v>437</v>
      </c>
      <c r="AV260" s="168">
        <v>43466</v>
      </c>
      <c r="AW260" s="1">
        <f t="shared" ca="1" si="20"/>
        <v>6</v>
      </c>
      <c r="AX260" s="1" t="s">
        <v>63</v>
      </c>
      <c r="AY260" s="1">
        <v>6.38</v>
      </c>
      <c r="BA260" s="184" t="s">
        <v>356</v>
      </c>
      <c r="BB260" s="1" t="s">
        <v>448</v>
      </c>
      <c r="BC260" s="1">
        <v>0</v>
      </c>
      <c r="BD260" s="1">
        <v>0</v>
      </c>
      <c r="BL260" s="1" t="s">
        <v>447</v>
      </c>
      <c r="BN260" s="1" t="s">
        <v>483</v>
      </c>
      <c r="BX260" s="1" t="s">
        <v>482</v>
      </c>
      <c r="CI260" s="15" t="s">
        <v>333</v>
      </c>
      <c r="CJ260" s="1" t="s">
        <v>334</v>
      </c>
    </row>
    <row r="261" spans="1:88" hidden="1">
      <c r="A261" s="4">
        <v>260</v>
      </c>
      <c r="B261" s="171">
        <v>35481</v>
      </c>
      <c r="C261" s="199" t="s">
        <v>277</v>
      </c>
      <c r="D261" s="1" t="s">
        <v>170</v>
      </c>
      <c r="E261" s="1">
        <f t="shared" ca="1" si="18"/>
        <v>28</v>
      </c>
      <c r="F261" s="1">
        <f t="shared" si="19"/>
        <v>27</v>
      </c>
      <c r="G261" s="1" t="s">
        <v>9</v>
      </c>
      <c r="H261" s="1" t="s">
        <v>278</v>
      </c>
      <c r="Z261" s="1">
        <v>0</v>
      </c>
      <c r="AA261" s="1">
        <v>0</v>
      </c>
      <c r="AV261" s="168">
        <v>45446</v>
      </c>
      <c r="AW261" s="1">
        <f t="shared" ca="1" si="20"/>
        <v>1</v>
      </c>
      <c r="AX261" s="1" t="s">
        <v>63</v>
      </c>
      <c r="AY261" s="1">
        <v>0</v>
      </c>
      <c r="AZ261" s="1">
        <v>1</v>
      </c>
      <c r="BA261" s="184"/>
      <c r="CI261" s="15" t="s">
        <v>335</v>
      </c>
      <c r="CJ261" s="1" t="s">
        <v>336</v>
      </c>
    </row>
    <row r="262" spans="1:88" hidden="1">
      <c r="A262" s="4">
        <v>261</v>
      </c>
      <c r="B262" s="171">
        <v>26301</v>
      </c>
      <c r="C262" s="199" t="s">
        <v>277</v>
      </c>
      <c r="D262" s="1" t="s">
        <v>170</v>
      </c>
      <c r="E262" s="1">
        <f t="shared" ca="1" si="18"/>
        <v>53</v>
      </c>
      <c r="F262" s="1">
        <f t="shared" si="19"/>
        <v>46</v>
      </c>
      <c r="G262" s="1" t="s">
        <v>11</v>
      </c>
      <c r="H262" s="1" t="s">
        <v>12</v>
      </c>
      <c r="I262" s="1" t="s">
        <v>12</v>
      </c>
      <c r="M262" s="1">
        <v>0</v>
      </c>
      <c r="N262" s="1">
        <v>0</v>
      </c>
      <c r="O262" s="1">
        <v>0</v>
      </c>
      <c r="Z262" s="1">
        <v>0</v>
      </c>
      <c r="AA262" s="1">
        <v>0</v>
      </c>
      <c r="AC262" s="1" t="s">
        <v>91</v>
      </c>
      <c r="AL262" s="1" t="s">
        <v>437</v>
      </c>
      <c r="AN262" s="1" t="s">
        <v>437</v>
      </c>
      <c r="AO262" s="1" t="s">
        <v>437</v>
      </c>
      <c r="AP262" s="1" t="s">
        <v>437</v>
      </c>
      <c r="AQ262" s="1" t="s">
        <v>437</v>
      </c>
      <c r="AR262" s="1" t="s">
        <v>437</v>
      </c>
      <c r="AS262" s="1" t="s">
        <v>437</v>
      </c>
      <c r="AT262" s="1" t="s">
        <v>437</v>
      </c>
      <c r="AU262" s="1" t="s">
        <v>437</v>
      </c>
      <c r="AV262" s="168">
        <v>43339</v>
      </c>
      <c r="AW262" s="1">
        <f t="shared" ca="1" si="20"/>
        <v>6</v>
      </c>
      <c r="AX262" s="1" t="s">
        <v>63</v>
      </c>
      <c r="AY262" s="1">
        <v>0</v>
      </c>
      <c r="AZ262" s="1">
        <v>1</v>
      </c>
      <c r="BA262" s="184" t="s">
        <v>34</v>
      </c>
      <c r="BB262" s="1" t="s">
        <v>34</v>
      </c>
      <c r="BC262" s="1">
        <v>0</v>
      </c>
      <c r="BD262" s="1">
        <v>0</v>
      </c>
      <c r="BN262" s="1" t="s">
        <v>482</v>
      </c>
      <c r="BX262" s="1" t="s">
        <v>482</v>
      </c>
    </row>
    <row r="263" spans="1:88" hidden="1">
      <c r="A263" s="4">
        <v>262</v>
      </c>
      <c r="B263" s="171">
        <v>37401</v>
      </c>
      <c r="C263" s="199" t="s">
        <v>277</v>
      </c>
      <c r="D263" s="1" t="s">
        <v>418</v>
      </c>
      <c r="E263" s="1">
        <f t="shared" ca="1" si="18"/>
        <v>23</v>
      </c>
      <c r="F263" s="1">
        <f t="shared" si="19"/>
        <v>19</v>
      </c>
      <c r="G263" s="1" t="s">
        <v>8</v>
      </c>
      <c r="H263" s="1" t="s">
        <v>12</v>
      </c>
      <c r="I263" s="1" t="s">
        <v>12</v>
      </c>
      <c r="M263" s="1">
        <v>0</v>
      </c>
      <c r="N263" s="1">
        <v>0</v>
      </c>
      <c r="O263" s="1">
        <v>0</v>
      </c>
      <c r="Z263" s="1">
        <v>0</v>
      </c>
      <c r="AA263" s="1">
        <v>0</v>
      </c>
      <c r="AF263" s="1" t="s">
        <v>91</v>
      </c>
      <c r="AK263" s="1" t="s">
        <v>91</v>
      </c>
      <c r="AL263" s="1" t="s">
        <v>437</v>
      </c>
      <c r="AN263" s="1" t="s">
        <v>437</v>
      </c>
      <c r="AO263" s="1" t="s">
        <v>437</v>
      </c>
      <c r="AP263" s="1" t="s">
        <v>437</v>
      </c>
      <c r="AQ263" s="1" t="s">
        <v>437</v>
      </c>
      <c r="AR263" s="1" t="s">
        <v>437</v>
      </c>
      <c r="AS263" s="1" t="s">
        <v>437</v>
      </c>
      <c r="AT263" s="1" t="s">
        <v>437</v>
      </c>
      <c r="AU263" s="1" t="s">
        <v>437</v>
      </c>
      <c r="AV263" s="168">
        <v>44392</v>
      </c>
      <c r="AW263" s="1">
        <f t="shared" ca="1" si="20"/>
        <v>4</v>
      </c>
      <c r="AX263" s="1" t="s">
        <v>445</v>
      </c>
      <c r="AY263" s="1">
        <v>1.26</v>
      </c>
      <c r="BA263" s="184" t="s">
        <v>34</v>
      </c>
      <c r="BB263" s="1" t="s">
        <v>34</v>
      </c>
      <c r="BC263" s="1">
        <v>0</v>
      </c>
      <c r="BD263" s="1">
        <v>0</v>
      </c>
      <c r="BN263" s="1" t="s">
        <v>482</v>
      </c>
      <c r="BX263" s="1" t="s">
        <v>482</v>
      </c>
      <c r="CI263" s="15" t="s">
        <v>279</v>
      </c>
    </row>
    <row r="264" spans="1:88" hidden="1">
      <c r="A264" s="4">
        <v>263</v>
      </c>
      <c r="B264" s="171">
        <v>22851</v>
      </c>
      <c r="C264" s="199" t="s">
        <v>277</v>
      </c>
      <c r="D264" s="1" t="s">
        <v>170</v>
      </c>
      <c r="E264" s="1">
        <f t="shared" ca="1" si="18"/>
        <v>62</v>
      </c>
      <c r="F264" s="1">
        <f t="shared" si="19"/>
        <v>48</v>
      </c>
      <c r="G264" s="1" t="s">
        <v>8</v>
      </c>
      <c r="H264" s="1" t="s">
        <v>12</v>
      </c>
      <c r="I264" s="1" t="s">
        <v>12</v>
      </c>
      <c r="J264" s="1">
        <v>1.65</v>
      </c>
      <c r="K264" s="1">
        <v>60</v>
      </c>
      <c r="M264" s="1">
        <v>0</v>
      </c>
      <c r="N264" s="1">
        <v>1</v>
      </c>
      <c r="O264" s="1">
        <v>0</v>
      </c>
      <c r="P264" s="1">
        <v>144</v>
      </c>
      <c r="Q264" s="1">
        <v>95</v>
      </c>
      <c r="R264" s="1">
        <v>60</v>
      </c>
      <c r="W264" s="1">
        <v>2317</v>
      </c>
      <c r="X264" s="1">
        <v>0</v>
      </c>
      <c r="Y264" s="1">
        <v>2158</v>
      </c>
      <c r="Z264" s="1">
        <v>0</v>
      </c>
      <c r="AA264" s="1">
        <v>1</v>
      </c>
      <c r="AC264" s="1" t="s">
        <v>83</v>
      </c>
      <c r="AL264" s="1" t="s">
        <v>439</v>
      </c>
      <c r="AM264" s="1" t="s">
        <v>84</v>
      </c>
      <c r="AN264" s="1" t="s">
        <v>437</v>
      </c>
      <c r="AO264" s="1" t="s">
        <v>437</v>
      </c>
      <c r="AP264" s="1" t="s">
        <v>437</v>
      </c>
      <c r="AQ264" s="1" t="s">
        <v>437</v>
      </c>
      <c r="AR264" s="1" t="s">
        <v>437</v>
      </c>
      <c r="AS264" s="1" t="s">
        <v>437</v>
      </c>
      <c r="AT264" s="1" t="s">
        <v>437</v>
      </c>
      <c r="AU264" s="1" t="s">
        <v>437</v>
      </c>
      <c r="AV264" s="168">
        <v>40616</v>
      </c>
      <c r="AW264" s="1">
        <f t="shared" ca="1" si="20"/>
        <v>14</v>
      </c>
      <c r="AX264" s="1" t="s">
        <v>445</v>
      </c>
      <c r="AY264" s="1">
        <v>3.69</v>
      </c>
      <c r="BA264" s="184" t="s">
        <v>356</v>
      </c>
      <c r="BB264" s="1" t="s">
        <v>448</v>
      </c>
      <c r="BC264" s="1">
        <v>0</v>
      </c>
      <c r="BD264" s="1">
        <v>1</v>
      </c>
      <c r="BE264" s="1">
        <v>1</v>
      </c>
      <c r="BF264" s="1">
        <v>1</v>
      </c>
      <c r="BI264" s="1">
        <v>1</v>
      </c>
      <c r="BJ264" s="1">
        <v>1</v>
      </c>
      <c r="BL264" s="1" t="s">
        <v>447</v>
      </c>
      <c r="BM264" s="1" t="s">
        <v>480</v>
      </c>
      <c r="BN264" s="1" t="s">
        <v>482</v>
      </c>
      <c r="BO264" s="1">
        <v>1</v>
      </c>
      <c r="BT264" s="1">
        <v>1</v>
      </c>
      <c r="CI264" s="15" t="s">
        <v>337</v>
      </c>
    </row>
    <row r="265" spans="1:88" hidden="1">
      <c r="A265" s="4">
        <v>264</v>
      </c>
      <c r="B265" s="171">
        <v>36296</v>
      </c>
      <c r="C265" s="199" t="s">
        <v>277</v>
      </c>
      <c r="D265" s="1" t="s">
        <v>418</v>
      </c>
      <c r="E265" s="1">
        <f t="shared" ca="1" si="18"/>
        <v>26</v>
      </c>
      <c r="F265" s="1">
        <f t="shared" si="19"/>
        <v>16</v>
      </c>
      <c r="G265" s="1" t="s">
        <v>8</v>
      </c>
      <c r="H265" s="1" t="s">
        <v>12</v>
      </c>
      <c r="I265" s="1" t="s">
        <v>12</v>
      </c>
      <c r="J265" s="1">
        <v>1.7</v>
      </c>
      <c r="K265" s="1">
        <v>66</v>
      </c>
      <c r="M265" s="1">
        <v>0</v>
      </c>
      <c r="N265" s="1">
        <v>0</v>
      </c>
      <c r="O265" s="1">
        <v>0</v>
      </c>
      <c r="Z265" s="1">
        <v>0</v>
      </c>
      <c r="AA265" s="1">
        <v>0</v>
      </c>
      <c r="AF265" s="1" t="s">
        <v>91</v>
      </c>
      <c r="AL265" s="1" t="s">
        <v>437</v>
      </c>
      <c r="AN265" s="1" t="s">
        <v>437</v>
      </c>
      <c r="AO265" s="1" t="s">
        <v>437</v>
      </c>
      <c r="AP265" s="1" t="s">
        <v>437</v>
      </c>
      <c r="AQ265" s="1" t="s">
        <v>437</v>
      </c>
      <c r="AR265" s="1" t="s">
        <v>437</v>
      </c>
      <c r="AS265" s="1" t="s">
        <v>437</v>
      </c>
      <c r="AT265" s="1" t="s">
        <v>437</v>
      </c>
      <c r="AU265" s="1" t="s">
        <v>437</v>
      </c>
      <c r="AV265" s="168">
        <v>42294</v>
      </c>
      <c r="AW265" s="1">
        <f t="shared" ca="1" si="20"/>
        <v>9</v>
      </c>
      <c r="AX265" s="1" t="s">
        <v>445</v>
      </c>
      <c r="AY265" s="1">
        <v>4.12</v>
      </c>
      <c r="BA265" s="184" t="s">
        <v>34</v>
      </c>
      <c r="BB265" s="1" t="s">
        <v>34</v>
      </c>
      <c r="CI265" s="15" t="s">
        <v>279</v>
      </c>
    </row>
    <row r="266" spans="1:88" hidden="1">
      <c r="A266" s="4">
        <v>265</v>
      </c>
      <c r="B266" s="171">
        <v>37882</v>
      </c>
      <c r="C266" s="199" t="s">
        <v>277</v>
      </c>
      <c r="D266" s="1" t="s">
        <v>418</v>
      </c>
      <c r="E266" s="1">
        <f t="shared" ca="1" si="18"/>
        <v>21</v>
      </c>
      <c r="F266" s="1">
        <f t="shared" si="19"/>
        <v>17</v>
      </c>
      <c r="G266" s="1" t="s">
        <v>8</v>
      </c>
      <c r="H266" s="1" t="s">
        <v>278</v>
      </c>
      <c r="Z266" s="1">
        <v>0</v>
      </c>
      <c r="AA266" s="1">
        <v>0</v>
      </c>
      <c r="AK266" s="1" t="s">
        <v>106</v>
      </c>
      <c r="AL266" s="1" t="s">
        <v>437</v>
      </c>
      <c r="AN266" s="1" t="s">
        <v>437</v>
      </c>
      <c r="AO266" s="1" t="s">
        <v>437</v>
      </c>
      <c r="AP266" s="1" t="s">
        <v>437</v>
      </c>
      <c r="AQ266" s="1" t="s">
        <v>437</v>
      </c>
      <c r="AR266" s="1" t="s">
        <v>437</v>
      </c>
      <c r="AS266" s="1" t="s">
        <v>437</v>
      </c>
      <c r="AT266" s="1" t="s">
        <v>437</v>
      </c>
      <c r="AU266" s="1" t="s">
        <v>437</v>
      </c>
      <c r="AV266" s="168">
        <v>44235</v>
      </c>
      <c r="AW266" s="1">
        <f t="shared" ca="1" si="20"/>
        <v>4</v>
      </c>
      <c r="AX266" s="1" t="s">
        <v>445</v>
      </c>
      <c r="AY266" s="1">
        <v>4.6500000000000004</v>
      </c>
      <c r="BA266" s="184" t="s">
        <v>34</v>
      </c>
      <c r="BB266" s="1" t="s">
        <v>34</v>
      </c>
      <c r="CG266" s="1">
        <v>1</v>
      </c>
      <c r="CI266" s="15" t="s">
        <v>398</v>
      </c>
    </row>
    <row r="267" spans="1:88" hidden="1">
      <c r="A267" s="4">
        <v>266</v>
      </c>
      <c r="B267" s="171">
        <v>29862</v>
      </c>
      <c r="C267" s="199" t="s">
        <v>277</v>
      </c>
      <c r="D267" s="1" t="s">
        <v>418</v>
      </c>
      <c r="E267" s="1">
        <f t="shared" ca="1" si="18"/>
        <v>43</v>
      </c>
      <c r="F267" s="1">
        <f t="shared" si="19"/>
        <v>32</v>
      </c>
      <c r="G267" s="1" t="s">
        <v>6</v>
      </c>
      <c r="H267" s="1" t="s">
        <v>278</v>
      </c>
      <c r="Z267" s="1">
        <v>1</v>
      </c>
      <c r="AA267" s="1">
        <v>0</v>
      </c>
      <c r="AC267" s="1" t="s">
        <v>83</v>
      </c>
      <c r="AK267" s="1" t="s">
        <v>83</v>
      </c>
      <c r="AL267" s="1" t="s">
        <v>440</v>
      </c>
      <c r="AM267" s="1" t="s">
        <v>84</v>
      </c>
      <c r="AN267" s="1" t="s">
        <v>437</v>
      </c>
      <c r="AO267" s="1" t="s">
        <v>437</v>
      </c>
      <c r="AP267" s="1" t="s">
        <v>437</v>
      </c>
      <c r="AQ267" s="1" t="s">
        <v>437</v>
      </c>
      <c r="AR267" s="1" t="s">
        <v>437</v>
      </c>
      <c r="AS267" s="1" t="s">
        <v>437</v>
      </c>
      <c r="AT267" s="1" t="s">
        <v>437</v>
      </c>
      <c r="AU267" s="1" t="s">
        <v>437</v>
      </c>
      <c r="AV267" s="168">
        <v>41640</v>
      </c>
      <c r="AW267" s="1">
        <f t="shared" ca="1" si="20"/>
        <v>11</v>
      </c>
      <c r="AX267" s="1" t="s">
        <v>63</v>
      </c>
      <c r="AY267" s="1">
        <v>4.38</v>
      </c>
      <c r="BA267" s="184" t="s">
        <v>356</v>
      </c>
      <c r="BB267" s="1" t="s">
        <v>448</v>
      </c>
      <c r="BC267" s="1">
        <v>0</v>
      </c>
      <c r="BD267" s="1">
        <v>1</v>
      </c>
      <c r="BL267" s="1" t="s">
        <v>472</v>
      </c>
      <c r="BN267" s="1" t="s">
        <v>483</v>
      </c>
      <c r="BV267" s="1" t="s">
        <v>447</v>
      </c>
      <c r="BX267" s="1" t="s">
        <v>483</v>
      </c>
      <c r="CI267" s="15" t="s">
        <v>280</v>
      </c>
    </row>
    <row r="268" spans="1:88" hidden="1">
      <c r="A268" s="4">
        <v>267</v>
      </c>
      <c r="B268" s="171">
        <v>31050</v>
      </c>
      <c r="C268" s="199" t="s">
        <v>277</v>
      </c>
      <c r="D268" s="1" t="s">
        <v>170</v>
      </c>
      <c r="E268" s="1">
        <f t="shared" ca="1" si="18"/>
        <v>40</v>
      </c>
      <c r="F268" s="1">
        <f t="shared" si="19"/>
        <v>39</v>
      </c>
      <c r="G268" s="1" t="s">
        <v>8</v>
      </c>
      <c r="H268" s="1" t="s">
        <v>12</v>
      </c>
      <c r="I268" s="1" t="s">
        <v>12</v>
      </c>
      <c r="J268" s="1">
        <v>1.8</v>
      </c>
      <c r="K268" s="1">
        <v>75</v>
      </c>
      <c r="M268" s="1">
        <v>0</v>
      </c>
      <c r="N268" s="1">
        <v>0</v>
      </c>
      <c r="O268" s="1">
        <v>0</v>
      </c>
      <c r="P268" s="1">
        <v>119</v>
      </c>
      <c r="Q268" s="1">
        <v>96</v>
      </c>
      <c r="R268" s="1">
        <v>17</v>
      </c>
      <c r="S268" s="1">
        <v>6.8</v>
      </c>
      <c r="T268" s="1">
        <v>86</v>
      </c>
      <c r="U268" s="1">
        <v>350</v>
      </c>
      <c r="V268" s="1">
        <v>40</v>
      </c>
      <c r="W268" s="1">
        <v>2999</v>
      </c>
      <c r="X268" s="1">
        <v>1</v>
      </c>
      <c r="Y268" s="1">
        <v>0</v>
      </c>
      <c r="Z268" s="1">
        <v>0</v>
      </c>
      <c r="AA268" s="1">
        <v>1</v>
      </c>
      <c r="AC268" s="1" t="s">
        <v>91</v>
      </c>
      <c r="AH268" s="1">
        <v>0</v>
      </c>
      <c r="AL268" s="1" t="s">
        <v>437</v>
      </c>
      <c r="AN268" s="1" t="s">
        <v>437</v>
      </c>
      <c r="AO268" s="1" t="s">
        <v>437</v>
      </c>
      <c r="AP268" s="1" t="s">
        <v>437</v>
      </c>
      <c r="AQ268" s="1" t="s">
        <v>437</v>
      </c>
      <c r="AR268" s="1" t="s">
        <v>437</v>
      </c>
      <c r="AS268" s="1" t="s">
        <v>437</v>
      </c>
      <c r="AT268" s="1" t="s">
        <v>437</v>
      </c>
      <c r="AU268" s="1" t="s">
        <v>437</v>
      </c>
      <c r="AV268" s="168">
        <v>45546</v>
      </c>
      <c r="AW268" s="1">
        <f t="shared" ca="1" si="20"/>
        <v>0</v>
      </c>
      <c r="AX268" s="1" t="s">
        <v>445</v>
      </c>
      <c r="AY268" s="1">
        <v>4.8099999999999996</v>
      </c>
      <c r="BA268" s="184" t="s">
        <v>356</v>
      </c>
      <c r="BB268" s="169" t="s">
        <v>447</v>
      </c>
      <c r="BC268" s="1">
        <v>0</v>
      </c>
      <c r="BE268" s="1">
        <v>1</v>
      </c>
      <c r="BJ268" s="1">
        <v>1</v>
      </c>
      <c r="BK268" s="1" t="s">
        <v>467</v>
      </c>
    </row>
    <row r="269" spans="1:88" hidden="1">
      <c r="A269" s="4">
        <v>268</v>
      </c>
      <c r="B269" s="171">
        <v>37964</v>
      </c>
      <c r="C269" s="199" t="s">
        <v>277</v>
      </c>
      <c r="D269" s="1" t="s">
        <v>418</v>
      </c>
      <c r="E269" s="1">
        <f t="shared" ca="1" si="18"/>
        <v>21</v>
      </c>
      <c r="F269" s="1">
        <f t="shared" si="19"/>
        <v>18</v>
      </c>
      <c r="G269" s="1" t="s">
        <v>5</v>
      </c>
      <c r="H269" s="1" t="s">
        <v>12</v>
      </c>
      <c r="I269" s="1" t="s">
        <v>12</v>
      </c>
      <c r="K269" s="1">
        <v>91</v>
      </c>
      <c r="M269" s="1">
        <v>0</v>
      </c>
      <c r="N269" s="1">
        <v>0</v>
      </c>
      <c r="O269" s="1">
        <v>0</v>
      </c>
      <c r="P269" s="1">
        <v>27</v>
      </c>
      <c r="Q269" s="1">
        <v>44</v>
      </c>
      <c r="R269" s="1">
        <v>197</v>
      </c>
      <c r="S269" s="1">
        <v>212</v>
      </c>
      <c r="T269" s="1">
        <v>72</v>
      </c>
      <c r="U269" s="1">
        <v>346</v>
      </c>
      <c r="W269" s="1">
        <v>0</v>
      </c>
      <c r="Y269" s="1">
        <v>0</v>
      </c>
      <c r="Z269" s="1">
        <v>0</v>
      </c>
      <c r="AA269" s="1">
        <v>0</v>
      </c>
      <c r="AL269" s="1" t="s">
        <v>437</v>
      </c>
      <c r="AN269" s="1" t="s">
        <v>437</v>
      </c>
      <c r="AO269" s="1" t="s">
        <v>437</v>
      </c>
      <c r="AP269" s="1" t="s">
        <v>437</v>
      </c>
      <c r="AQ269" s="1" t="s">
        <v>437</v>
      </c>
      <c r="AR269" s="1" t="s">
        <v>437</v>
      </c>
      <c r="AS269" s="1" t="s">
        <v>437</v>
      </c>
      <c r="AT269" s="1" t="s">
        <v>437</v>
      </c>
      <c r="AU269" s="1" t="s">
        <v>437</v>
      </c>
      <c r="AV269" s="168">
        <v>44831</v>
      </c>
      <c r="AW269" s="1">
        <f t="shared" ca="1" si="20"/>
        <v>2</v>
      </c>
      <c r="AX269" s="1" t="s">
        <v>63</v>
      </c>
      <c r="AY269" s="1">
        <v>2.5299999999999998</v>
      </c>
      <c r="BA269" s="184" t="s">
        <v>34</v>
      </c>
      <c r="CI269" s="15" t="s">
        <v>281</v>
      </c>
    </row>
    <row r="270" spans="1:88" hidden="1">
      <c r="A270" s="4">
        <v>269</v>
      </c>
      <c r="B270" s="171">
        <v>28287</v>
      </c>
      <c r="C270" s="199" t="s">
        <v>277</v>
      </c>
      <c r="D270" s="1" t="s">
        <v>418</v>
      </c>
      <c r="E270" s="1">
        <f t="shared" ca="1" si="18"/>
        <v>48</v>
      </c>
      <c r="F270" s="1">
        <f t="shared" si="19"/>
        <v>43</v>
      </c>
      <c r="G270" s="1" t="s">
        <v>419</v>
      </c>
      <c r="H270" s="1" t="s">
        <v>14</v>
      </c>
      <c r="J270" s="1">
        <v>1.7</v>
      </c>
      <c r="K270" s="1">
        <v>101</v>
      </c>
      <c r="M270" s="1">
        <v>0</v>
      </c>
      <c r="N270" s="1">
        <v>1</v>
      </c>
      <c r="P270" s="1">
        <v>143</v>
      </c>
      <c r="Q270" s="1">
        <v>283</v>
      </c>
      <c r="R270" s="1">
        <v>169</v>
      </c>
      <c r="S270" s="1">
        <v>15.3</v>
      </c>
      <c r="T270" s="1">
        <v>91</v>
      </c>
      <c r="U270" s="1">
        <v>153</v>
      </c>
      <c r="W270" s="1">
        <v>0</v>
      </c>
      <c r="Y270" s="1">
        <v>0</v>
      </c>
      <c r="Z270" s="1">
        <v>1</v>
      </c>
      <c r="AA270" s="1">
        <v>0</v>
      </c>
      <c r="AF270" s="1" t="s">
        <v>106</v>
      </c>
      <c r="AK270" s="1" t="s">
        <v>106</v>
      </c>
      <c r="AL270" s="1" t="s">
        <v>437</v>
      </c>
      <c r="AN270" s="1" t="s">
        <v>437</v>
      </c>
      <c r="AO270" s="1" t="s">
        <v>437</v>
      </c>
      <c r="AP270" s="1" t="s">
        <v>437</v>
      </c>
      <c r="AQ270" s="1" t="s">
        <v>437</v>
      </c>
      <c r="AR270" s="1" t="s">
        <v>437</v>
      </c>
      <c r="AS270" s="1" t="s">
        <v>437</v>
      </c>
      <c r="AT270" s="1" t="s">
        <v>437</v>
      </c>
      <c r="AU270" s="1" t="s">
        <v>437</v>
      </c>
      <c r="AV270" s="168">
        <v>44011</v>
      </c>
      <c r="AW270" s="1">
        <f t="shared" ca="1" si="20"/>
        <v>5</v>
      </c>
      <c r="AX270" s="1" t="s">
        <v>445</v>
      </c>
      <c r="AY270" s="1">
        <v>0</v>
      </c>
      <c r="AZ270" s="1">
        <v>1</v>
      </c>
      <c r="BA270" s="184" t="s">
        <v>356</v>
      </c>
      <c r="BB270" s="1" t="s">
        <v>34</v>
      </c>
      <c r="CI270" s="15" t="s">
        <v>279</v>
      </c>
    </row>
    <row r="271" spans="1:88" ht="28.8" hidden="1">
      <c r="A271" s="4">
        <v>270</v>
      </c>
      <c r="B271" s="171">
        <v>27832</v>
      </c>
      <c r="C271" s="199" t="s">
        <v>277</v>
      </c>
      <c r="D271" s="1" t="s">
        <v>418</v>
      </c>
      <c r="E271" s="1">
        <f t="shared" ca="1" si="18"/>
        <v>49</v>
      </c>
      <c r="F271" s="1">
        <f t="shared" si="19"/>
        <v>47</v>
      </c>
      <c r="H271" s="1" t="s">
        <v>12</v>
      </c>
      <c r="I271" s="1" t="s">
        <v>12</v>
      </c>
      <c r="M271" s="1">
        <v>0</v>
      </c>
      <c r="N271" s="1">
        <v>0</v>
      </c>
      <c r="O271" s="1">
        <v>0</v>
      </c>
      <c r="P271" s="1">
        <v>20</v>
      </c>
      <c r="Q271" s="1">
        <v>20</v>
      </c>
      <c r="R271" s="1">
        <v>17</v>
      </c>
      <c r="S271" s="1">
        <v>10</v>
      </c>
      <c r="T271" s="1">
        <v>80</v>
      </c>
      <c r="U271" s="1">
        <v>200</v>
      </c>
      <c r="Y271" s="1">
        <v>0</v>
      </c>
      <c r="Z271" s="1">
        <v>0</v>
      </c>
      <c r="AA271" s="1">
        <v>0</v>
      </c>
      <c r="AF271" s="1" t="s">
        <v>91</v>
      </c>
      <c r="AK271" s="1" t="s">
        <v>91</v>
      </c>
      <c r="AL271" s="1" t="s">
        <v>437</v>
      </c>
      <c r="AN271" s="1" t="s">
        <v>437</v>
      </c>
      <c r="AO271" s="1" t="s">
        <v>437</v>
      </c>
      <c r="AP271" s="1" t="s">
        <v>437</v>
      </c>
      <c r="AQ271" s="1" t="s">
        <v>437</v>
      </c>
      <c r="AR271" s="1" t="s">
        <v>437</v>
      </c>
      <c r="AS271" s="1" t="s">
        <v>437</v>
      </c>
      <c r="AT271" s="1" t="s">
        <v>437</v>
      </c>
      <c r="AU271" s="1" t="s">
        <v>437</v>
      </c>
      <c r="AV271" s="168">
        <v>45183</v>
      </c>
      <c r="AW271" s="1">
        <f t="shared" ca="1" si="20"/>
        <v>1</v>
      </c>
      <c r="AX271" s="1" t="s">
        <v>63</v>
      </c>
      <c r="AY271" s="1">
        <v>0</v>
      </c>
      <c r="AZ271" s="1">
        <v>1</v>
      </c>
      <c r="BA271" s="184" t="s">
        <v>34</v>
      </c>
      <c r="BB271" s="1" t="s">
        <v>34</v>
      </c>
      <c r="CI271" s="15" t="s">
        <v>282</v>
      </c>
    </row>
    <row r="272" spans="1:88" hidden="1">
      <c r="A272" s="4">
        <v>271</v>
      </c>
      <c r="B272" s="171">
        <v>32858</v>
      </c>
      <c r="C272" s="201" t="s">
        <v>283</v>
      </c>
      <c r="D272" s="202" t="s">
        <v>418</v>
      </c>
      <c r="E272" s="1">
        <f t="shared" ca="1" si="18"/>
        <v>35</v>
      </c>
      <c r="F272" s="1">
        <f t="shared" si="19"/>
        <v>27</v>
      </c>
      <c r="H272" s="1" t="s">
        <v>12</v>
      </c>
      <c r="I272" s="1" t="s">
        <v>12</v>
      </c>
      <c r="AH272" s="1" t="s">
        <v>128</v>
      </c>
      <c r="AV272" s="168">
        <v>43017</v>
      </c>
      <c r="AW272" s="1">
        <f t="shared" ca="1" si="20"/>
        <v>7</v>
      </c>
      <c r="AX272" s="1" t="s">
        <v>63</v>
      </c>
      <c r="AY272" s="1">
        <v>3.71</v>
      </c>
      <c r="BA272" s="184"/>
      <c r="CG272" s="1">
        <v>1</v>
      </c>
      <c r="CI272" s="15" t="s">
        <v>284</v>
      </c>
    </row>
    <row r="273" spans="1:107" hidden="1">
      <c r="A273" s="4">
        <v>272</v>
      </c>
      <c r="B273" s="171">
        <v>31543</v>
      </c>
      <c r="C273" s="201" t="s">
        <v>283</v>
      </c>
      <c r="D273" s="202" t="s">
        <v>418</v>
      </c>
      <c r="E273" s="1">
        <f t="shared" ca="1" si="18"/>
        <v>39</v>
      </c>
      <c r="F273" s="1">
        <f t="shared" si="19"/>
        <v>28</v>
      </c>
      <c r="G273" s="1" t="s">
        <v>9</v>
      </c>
      <c r="H273" s="1" t="s">
        <v>12</v>
      </c>
      <c r="I273" s="1" t="s">
        <v>12</v>
      </c>
      <c r="K273" s="1">
        <v>52</v>
      </c>
      <c r="M273" s="1">
        <v>0</v>
      </c>
      <c r="N273" s="1">
        <v>0</v>
      </c>
      <c r="O273" s="1">
        <v>0</v>
      </c>
      <c r="P273" s="1">
        <v>75</v>
      </c>
      <c r="Q273" s="1">
        <v>80</v>
      </c>
      <c r="R273" s="1">
        <v>12</v>
      </c>
      <c r="S273" s="1">
        <v>17</v>
      </c>
      <c r="T273" s="1">
        <v>76</v>
      </c>
      <c r="U273" s="1">
        <v>189</v>
      </c>
      <c r="V273" s="1">
        <v>36</v>
      </c>
      <c r="X273" s="1">
        <v>0</v>
      </c>
      <c r="Y273" s="1">
        <v>56296322</v>
      </c>
      <c r="Z273" s="1">
        <v>0</v>
      </c>
      <c r="AA273" s="1">
        <v>0</v>
      </c>
      <c r="AL273" s="1" t="s">
        <v>437</v>
      </c>
      <c r="AN273" s="1" t="s">
        <v>437</v>
      </c>
      <c r="AO273" s="1" t="s">
        <v>437</v>
      </c>
      <c r="AP273" s="1" t="s">
        <v>437</v>
      </c>
      <c r="AQ273" s="1" t="s">
        <v>437</v>
      </c>
      <c r="AR273" s="1" t="s">
        <v>437</v>
      </c>
      <c r="AS273" s="1" t="s">
        <v>437</v>
      </c>
      <c r="AT273" s="1" t="s">
        <v>437</v>
      </c>
      <c r="AU273" s="1" t="s">
        <v>437</v>
      </c>
      <c r="AV273" s="168">
        <v>41871</v>
      </c>
      <c r="AW273" s="1">
        <f t="shared" ca="1" si="20"/>
        <v>10</v>
      </c>
      <c r="AX273" s="1" t="s">
        <v>63</v>
      </c>
      <c r="BA273" s="184" t="s">
        <v>10</v>
      </c>
      <c r="CI273" s="15" t="s">
        <v>285</v>
      </c>
      <c r="CQ273" s="170"/>
      <c r="CR273" s="170"/>
      <c r="CS273" s="170"/>
      <c r="CT273" s="170"/>
      <c r="CV273" s="170"/>
      <c r="CW273" s="170"/>
      <c r="CX273" s="170"/>
      <c r="CY273" s="170"/>
      <c r="CZ273" s="170"/>
      <c r="DA273" s="170"/>
      <c r="DB273" s="170"/>
      <c r="DC273" s="170"/>
    </row>
    <row r="274" spans="1:107" hidden="1">
      <c r="A274" s="4">
        <v>273</v>
      </c>
      <c r="B274" s="171">
        <v>15403</v>
      </c>
      <c r="C274" s="201" t="s">
        <v>283</v>
      </c>
      <c r="D274" s="202" t="s">
        <v>418</v>
      </c>
      <c r="E274" s="1">
        <f t="shared" ca="1" si="18"/>
        <v>83</v>
      </c>
      <c r="F274" s="1">
        <f t="shared" si="19"/>
        <v>78</v>
      </c>
      <c r="H274" s="1">
        <v>0</v>
      </c>
      <c r="I274" s="1" t="s">
        <v>13</v>
      </c>
      <c r="J274" s="1">
        <v>177</v>
      </c>
      <c r="K274" s="1">
        <v>73</v>
      </c>
      <c r="M274" s="1">
        <v>0</v>
      </c>
      <c r="N274" s="1">
        <v>0</v>
      </c>
      <c r="O274" s="1">
        <v>0</v>
      </c>
      <c r="P274" s="1">
        <v>91</v>
      </c>
      <c r="Q274" s="1">
        <v>112</v>
      </c>
      <c r="R274" s="1">
        <v>51</v>
      </c>
      <c r="S274" s="1">
        <v>3</v>
      </c>
      <c r="T274" s="1">
        <v>85</v>
      </c>
      <c r="U274" s="1">
        <v>314</v>
      </c>
      <c r="V274" s="1">
        <v>26</v>
      </c>
      <c r="W274" s="1">
        <v>0.38100000000000001</v>
      </c>
      <c r="X274" s="1">
        <v>0</v>
      </c>
      <c r="Y274" s="1">
        <v>37</v>
      </c>
      <c r="Z274" s="1">
        <v>0</v>
      </c>
      <c r="AA274" s="1">
        <v>0</v>
      </c>
      <c r="AC274" s="1" t="s">
        <v>91</v>
      </c>
      <c r="AH274" s="1" t="s">
        <v>91</v>
      </c>
      <c r="AL274" s="1" t="s">
        <v>437</v>
      </c>
      <c r="AN274" s="1" t="s">
        <v>437</v>
      </c>
      <c r="AO274" s="1" t="s">
        <v>437</v>
      </c>
      <c r="AP274" s="1" t="s">
        <v>437</v>
      </c>
      <c r="AQ274" s="1" t="s">
        <v>437</v>
      </c>
      <c r="AR274" s="1" t="s">
        <v>437</v>
      </c>
      <c r="AS274" s="1" t="s">
        <v>437</v>
      </c>
      <c r="AT274" s="1" t="s">
        <v>437</v>
      </c>
      <c r="AU274" s="1" t="s">
        <v>437</v>
      </c>
      <c r="AV274" s="168">
        <v>44075</v>
      </c>
      <c r="AW274" s="1">
        <f t="shared" ca="1" si="20"/>
        <v>4</v>
      </c>
      <c r="AX274" s="1" t="s">
        <v>63</v>
      </c>
      <c r="AY274" s="1">
        <v>0</v>
      </c>
      <c r="BA274" s="184" t="s">
        <v>34</v>
      </c>
      <c r="CG274" s="1">
        <v>1</v>
      </c>
      <c r="CI274" s="15" t="s">
        <v>286</v>
      </c>
      <c r="CQ274" s="170"/>
      <c r="CR274" s="170"/>
      <c r="CS274" s="170"/>
      <c r="CT274" s="170"/>
      <c r="CU274" s="170"/>
      <c r="CV274" s="170"/>
      <c r="CW274" s="170"/>
      <c r="CX274" s="170"/>
      <c r="CY274" s="170"/>
      <c r="CZ274" s="170"/>
      <c r="DA274" s="170"/>
      <c r="DB274" s="170"/>
      <c r="DC274" s="170"/>
    </row>
    <row r="275" spans="1:107" hidden="1">
      <c r="A275" s="4">
        <v>274</v>
      </c>
      <c r="B275" s="171">
        <v>35192</v>
      </c>
      <c r="C275" s="201" t="s">
        <v>283</v>
      </c>
      <c r="D275" s="202" t="s">
        <v>170</v>
      </c>
      <c r="E275" s="1">
        <f t="shared" ca="1" si="18"/>
        <v>29</v>
      </c>
      <c r="F275" s="1">
        <f t="shared" si="19"/>
        <v>23</v>
      </c>
      <c r="H275" s="1" t="s">
        <v>12</v>
      </c>
      <c r="I275" s="1" t="s">
        <v>12</v>
      </c>
      <c r="AV275" s="168">
        <v>43845</v>
      </c>
      <c r="AW275" s="1">
        <f t="shared" ca="1" si="20"/>
        <v>5</v>
      </c>
      <c r="AX275" s="1" t="s">
        <v>63</v>
      </c>
      <c r="AY275" s="1">
        <v>0</v>
      </c>
      <c r="BA275" s="184"/>
      <c r="CG275" s="1">
        <v>1</v>
      </c>
      <c r="CI275" s="15" t="s">
        <v>399</v>
      </c>
      <c r="CQ275" s="170"/>
      <c r="CR275" s="170"/>
      <c r="CS275" s="170"/>
      <c r="CT275" s="170"/>
      <c r="CU275" s="170"/>
      <c r="CV275" s="170"/>
      <c r="CW275" s="170"/>
      <c r="CX275" s="170"/>
      <c r="CY275" s="170"/>
      <c r="CZ275" s="170"/>
      <c r="DA275" s="170"/>
      <c r="DB275" s="170"/>
      <c r="DC275" s="170"/>
    </row>
    <row r="276" spans="1:107" hidden="1">
      <c r="A276" s="4">
        <v>275</v>
      </c>
      <c r="B276" s="171">
        <v>23937</v>
      </c>
      <c r="C276" s="201" t="s">
        <v>283</v>
      </c>
      <c r="D276" s="202" t="s">
        <v>170</v>
      </c>
      <c r="E276" s="1">
        <f t="shared" ca="1" si="18"/>
        <v>60</v>
      </c>
      <c r="F276" s="1">
        <f t="shared" si="19"/>
        <v>58</v>
      </c>
      <c r="H276" s="1" t="s">
        <v>12</v>
      </c>
      <c r="I276" s="1" t="s">
        <v>12</v>
      </c>
      <c r="AV276" s="168">
        <v>45267</v>
      </c>
      <c r="AW276" s="1">
        <f t="shared" ca="1" si="20"/>
        <v>1</v>
      </c>
      <c r="AX276" s="1" t="s">
        <v>63</v>
      </c>
      <c r="AY276" s="1">
        <v>0</v>
      </c>
      <c r="AZ276" s="1">
        <v>1</v>
      </c>
      <c r="BA276" s="184" t="s">
        <v>34</v>
      </c>
      <c r="BB276" s="1" t="s">
        <v>34</v>
      </c>
      <c r="CI276" s="15" t="s">
        <v>338</v>
      </c>
      <c r="CQ276" s="170"/>
      <c r="CR276" s="170"/>
      <c r="CS276" s="170"/>
      <c r="CT276" s="170"/>
      <c r="CU276" s="170"/>
      <c r="CV276" s="170"/>
      <c r="CW276" s="170"/>
      <c r="CX276" s="170"/>
      <c r="CY276" s="170"/>
      <c r="CZ276" s="170"/>
      <c r="DA276" s="170"/>
      <c r="DB276" s="170"/>
      <c r="DC276" s="170"/>
    </row>
    <row r="277" spans="1:107" hidden="1">
      <c r="A277" s="4">
        <v>276</v>
      </c>
      <c r="B277" s="171">
        <v>30941</v>
      </c>
      <c r="C277" s="201" t="s">
        <v>283</v>
      </c>
      <c r="D277" s="202" t="s">
        <v>170</v>
      </c>
      <c r="E277" s="1">
        <f t="shared" ca="1" si="18"/>
        <v>40</v>
      </c>
      <c r="F277" s="1">
        <f t="shared" si="19"/>
        <v>37</v>
      </c>
      <c r="I277" s="1" t="s">
        <v>12</v>
      </c>
      <c r="J277" s="1">
        <v>164</v>
      </c>
      <c r="K277" s="1">
        <v>60</v>
      </c>
      <c r="M277" s="1">
        <v>0</v>
      </c>
      <c r="N277" s="1">
        <v>0</v>
      </c>
      <c r="O277" s="1">
        <v>0</v>
      </c>
      <c r="Z277" s="1">
        <v>0</v>
      </c>
      <c r="AA277" s="1">
        <v>1</v>
      </c>
      <c r="AH277" s="1" t="s">
        <v>91</v>
      </c>
      <c r="AL277" s="1" t="s">
        <v>437</v>
      </c>
      <c r="AN277" s="1" t="s">
        <v>437</v>
      </c>
      <c r="AO277" s="1" t="s">
        <v>437</v>
      </c>
      <c r="AP277" s="1" t="s">
        <v>437</v>
      </c>
      <c r="AQ277" s="1" t="s">
        <v>437</v>
      </c>
      <c r="AR277" s="1" t="s">
        <v>437</v>
      </c>
      <c r="AS277" s="1" t="s">
        <v>437</v>
      </c>
      <c r="AT277" s="1" t="s">
        <v>437</v>
      </c>
      <c r="AU277" s="1" t="s">
        <v>437</v>
      </c>
      <c r="AV277" s="168">
        <v>44698</v>
      </c>
      <c r="AW277" s="1">
        <f t="shared" ca="1" si="20"/>
        <v>3</v>
      </c>
      <c r="AX277" s="1" t="s">
        <v>63</v>
      </c>
      <c r="AY277" s="1">
        <v>1.1100000000000001</v>
      </c>
      <c r="BA277" s="184"/>
      <c r="CG277" s="1">
        <v>1</v>
      </c>
      <c r="CI277" s="15" t="s">
        <v>400</v>
      </c>
      <c r="CQ277" s="170"/>
      <c r="CR277" s="170"/>
      <c r="CS277" s="170"/>
      <c r="CT277" s="170"/>
      <c r="CU277" s="170"/>
      <c r="CV277" s="170"/>
      <c r="CW277" s="170"/>
      <c r="CX277" s="170"/>
      <c r="CY277" s="170"/>
      <c r="CZ277" s="170"/>
      <c r="DA277" s="170"/>
      <c r="DB277" s="170"/>
      <c r="DC277" s="170"/>
    </row>
    <row r="278" spans="1:107" hidden="1">
      <c r="A278" s="4">
        <v>277</v>
      </c>
      <c r="B278" s="171">
        <v>31777</v>
      </c>
      <c r="C278" s="201" t="s">
        <v>283</v>
      </c>
      <c r="D278" s="202" t="s">
        <v>418</v>
      </c>
      <c r="E278" s="1">
        <f t="shared" ca="1" si="18"/>
        <v>38</v>
      </c>
      <c r="F278" s="1">
        <f t="shared" si="19"/>
        <v>37</v>
      </c>
      <c r="G278" s="1" t="s">
        <v>8</v>
      </c>
      <c r="H278" s="1" t="s">
        <v>12</v>
      </c>
      <c r="I278" s="1" t="s">
        <v>12</v>
      </c>
      <c r="J278" s="1">
        <v>181</v>
      </c>
      <c r="K278" s="1">
        <v>95</v>
      </c>
      <c r="M278" s="1">
        <v>0</v>
      </c>
      <c r="N278" s="1">
        <v>0</v>
      </c>
      <c r="O278" s="1">
        <v>0</v>
      </c>
      <c r="P278" s="1">
        <v>27</v>
      </c>
      <c r="Q278" s="1">
        <v>22</v>
      </c>
      <c r="R278" s="1">
        <v>15</v>
      </c>
      <c r="S278" s="1">
        <v>5</v>
      </c>
      <c r="T278" s="1">
        <v>99</v>
      </c>
      <c r="U278" s="1">
        <v>243</v>
      </c>
      <c r="W278" s="1">
        <v>1402</v>
      </c>
      <c r="X278" s="1">
        <v>0</v>
      </c>
      <c r="Y278" s="1">
        <v>6626</v>
      </c>
      <c r="Z278" s="1">
        <v>0</v>
      </c>
      <c r="AA278" s="1">
        <v>0</v>
      </c>
      <c r="AC278" s="1" t="s">
        <v>91</v>
      </c>
      <c r="AF278" s="1">
        <v>0.89300000000000002</v>
      </c>
      <c r="AH278" s="1" t="s">
        <v>91</v>
      </c>
      <c r="AK278" s="1">
        <v>1.5660000000000001</v>
      </c>
      <c r="AL278" s="1" t="s">
        <v>437</v>
      </c>
      <c r="AN278" s="1" t="s">
        <v>437</v>
      </c>
      <c r="AO278" s="1" t="s">
        <v>437</v>
      </c>
      <c r="AP278" s="1" t="s">
        <v>437</v>
      </c>
      <c r="AQ278" s="1" t="s">
        <v>437</v>
      </c>
      <c r="AR278" s="1" t="s">
        <v>437</v>
      </c>
      <c r="AS278" s="1" t="s">
        <v>437</v>
      </c>
      <c r="AT278" s="1" t="s">
        <v>437</v>
      </c>
      <c r="AU278" s="1" t="s">
        <v>437</v>
      </c>
      <c r="AV278" s="168">
        <v>45505</v>
      </c>
      <c r="AW278" s="1">
        <f t="shared" ca="1" si="20"/>
        <v>0</v>
      </c>
      <c r="AX278" s="1" t="s">
        <v>445</v>
      </c>
      <c r="AY278" s="1">
        <v>0</v>
      </c>
      <c r="AZ278" s="1">
        <v>1</v>
      </c>
      <c r="BA278" s="184" t="s">
        <v>34</v>
      </c>
      <c r="BB278" s="1" t="s">
        <v>34</v>
      </c>
      <c r="CQ278" s="170"/>
      <c r="CR278" s="170"/>
      <c r="CS278" s="170"/>
      <c r="CT278" s="170"/>
      <c r="CU278" s="170"/>
      <c r="CV278" s="170"/>
      <c r="CW278" s="170"/>
      <c r="CX278" s="170"/>
      <c r="CY278" s="170"/>
      <c r="CZ278" s="170"/>
      <c r="DA278" s="170"/>
      <c r="DB278" s="170"/>
      <c r="DC278" s="170"/>
    </row>
    <row r="279" spans="1:107" ht="28.8" hidden="1">
      <c r="A279" s="4">
        <v>278</v>
      </c>
      <c r="B279" s="171">
        <v>26054</v>
      </c>
      <c r="C279" s="201" t="s">
        <v>283</v>
      </c>
      <c r="D279" s="202" t="s">
        <v>170</v>
      </c>
      <c r="E279" s="1">
        <f t="shared" ca="1" si="18"/>
        <v>54</v>
      </c>
      <c r="F279" s="1">
        <f t="shared" si="19"/>
        <v>46</v>
      </c>
      <c r="J279" s="1">
        <v>167</v>
      </c>
      <c r="K279" s="1">
        <v>79</v>
      </c>
      <c r="M279" s="1">
        <v>0</v>
      </c>
      <c r="N279" s="1">
        <v>0</v>
      </c>
      <c r="O279" s="1">
        <v>0</v>
      </c>
      <c r="X279" s="1">
        <v>1</v>
      </c>
      <c r="Z279" s="1">
        <v>0</v>
      </c>
      <c r="AA279" s="1">
        <v>0</v>
      </c>
      <c r="AH279" s="1" t="s">
        <v>110</v>
      </c>
      <c r="AL279" s="1" t="s">
        <v>437</v>
      </c>
      <c r="AN279" s="1" t="s">
        <v>437</v>
      </c>
      <c r="AO279" s="1" t="s">
        <v>437</v>
      </c>
      <c r="AP279" s="1" t="s">
        <v>437</v>
      </c>
      <c r="AQ279" s="1" t="s">
        <v>437</v>
      </c>
      <c r="AR279" s="1" t="s">
        <v>437</v>
      </c>
      <c r="AS279" s="1" t="s">
        <v>437</v>
      </c>
      <c r="AT279" s="1" t="s">
        <v>437</v>
      </c>
      <c r="AU279" s="1" t="s">
        <v>437</v>
      </c>
      <c r="AV279" s="168">
        <v>43101</v>
      </c>
      <c r="AW279" s="1">
        <f t="shared" ca="1" si="20"/>
        <v>7</v>
      </c>
      <c r="AX279" s="1" t="s">
        <v>445</v>
      </c>
      <c r="AY279" s="1">
        <v>0</v>
      </c>
      <c r="BA279" s="184" t="s">
        <v>34</v>
      </c>
      <c r="BB279" s="1" t="s">
        <v>34</v>
      </c>
      <c r="CI279" s="15" t="s">
        <v>339</v>
      </c>
      <c r="CQ279" s="170"/>
      <c r="CR279" s="170"/>
      <c r="CS279" s="170"/>
      <c r="CT279" s="170"/>
      <c r="CU279" s="170"/>
      <c r="CV279" s="170"/>
      <c r="CW279" s="170"/>
      <c r="CX279" s="170"/>
      <c r="CY279" s="170"/>
      <c r="CZ279" s="170"/>
      <c r="DA279" s="170"/>
      <c r="DB279" s="170"/>
      <c r="DC279" s="170"/>
    </row>
    <row r="280" spans="1:107" hidden="1">
      <c r="A280" s="4">
        <v>279</v>
      </c>
      <c r="B280" s="171">
        <v>21965</v>
      </c>
      <c r="C280" s="201" t="s">
        <v>283</v>
      </c>
      <c r="D280" s="202" t="s">
        <v>418</v>
      </c>
      <c r="E280" s="1">
        <f t="shared" ca="1" si="18"/>
        <v>65</v>
      </c>
      <c r="F280" s="1">
        <f t="shared" si="19"/>
        <v>62</v>
      </c>
      <c r="H280" s="1" t="s">
        <v>13</v>
      </c>
      <c r="I280" s="1" t="s">
        <v>13</v>
      </c>
      <c r="J280" s="1">
        <v>182</v>
      </c>
      <c r="K280" s="1">
        <v>73</v>
      </c>
      <c r="M280" s="1">
        <v>0</v>
      </c>
      <c r="N280" s="1">
        <v>0</v>
      </c>
      <c r="O280" s="1">
        <v>0</v>
      </c>
      <c r="Z280" s="1">
        <v>1</v>
      </c>
      <c r="AA280" s="1">
        <v>1</v>
      </c>
      <c r="AH280" s="1" t="s">
        <v>110</v>
      </c>
      <c r="AL280" s="1" t="s">
        <v>440</v>
      </c>
      <c r="AN280" s="1" t="s">
        <v>437</v>
      </c>
      <c r="AO280" s="1" t="s">
        <v>437</v>
      </c>
      <c r="AP280" s="1" t="s">
        <v>437</v>
      </c>
      <c r="AQ280" s="1" t="s">
        <v>437</v>
      </c>
      <c r="AR280" s="1" t="s">
        <v>437</v>
      </c>
      <c r="AS280" s="1" t="s">
        <v>437</v>
      </c>
      <c r="AT280" s="1" t="s">
        <v>437</v>
      </c>
      <c r="AU280" s="1" t="s">
        <v>437</v>
      </c>
      <c r="AV280" s="168">
        <v>44628</v>
      </c>
      <c r="AW280" s="1">
        <f t="shared" ca="1" si="20"/>
        <v>3</v>
      </c>
      <c r="AX280" s="1" t="s">
        <v>63</v>
      </c>
      <c r="BA280" s="184"/>
      <c r="CI280" s="15" t="s">
        <v>287</v>
      </c>
      <c r="CQ280" s="170"/>
      <c r="CR280" s="170"/>
      <c r="CS280" s="170"/>
      <c r="CT280" s="170"/>
      <c r="CU280" s="170"/>
      <c r="CV280" s="170"/>
      <c r="CW280" s="170"/>
      <c r="CX280" s="170"/>
      <c r="CY280" s="170"/>
      <c r="CZ280" s="170"/>
      <c r="DA280" s="170"/>
      <c r="DB280" s="170"/>
      <c r="DC280" s="170"/>
    </row>
    <row r="281" spans="1:107" hidden="1">
      <c r="A281" s="4">
        <v>280</v>
      </c>
      <c r="B281" s="171">
        <v>28796</v>
      </c>
      <c r="C281" s="201" t="s">
        <v>283</v>
      </c>
      <c r="D281" s="202" t="s">
        <v>418</v>
      </c>
      <c r="E281" s="1">
        <f t="shared" ca="1" si="18"/>
        <v>46</v>
      </c>
      <c r="F281" s="1">
        <f t="shared" si="19"/>
        <v>45</v>
      </c>
      <c r="G281" s="1" t="s">
        <v>419</v>
      </c>
      <c r="K281" s="1">
        <v>70</v>
      </c>
      <c r="M281" s="1">
        <v>0</v>
      </c>
      <c r="N281" s="1">
        <v>0</v>
      </c>
      <c r="O281" s="1">
        <v>0</v>
      </c>
      <c r="P281" s="1">
        <v>91</v>
      </c>
      <c r="Q281" s="1">
        <v>73</v>
      </c>
      <c r="R281" s="1">
        <v>210</v>
      </c>
      <c r="S281" s="1">
        <v>6</v>
      </c>
      <c r="W281" s="1">
        <v>1917</v>
      </c>
      <c r="Y281" s="1">
        <v>1.78</v>
      </c>
      <c r="Z281" s="1">
        <v>0</v>
      </c>
      <c r="AA281" s="1">
        <v>0</v>
      </c>
      <c r="AC281" s="1" t="s">
        <v>83</v>
      </c>
      <c r="AK281" s="1">
        <v>4.4390000000000001</v>
      </c>
      <c r="AL281" s="1" t="s">
        <v>440</v>
      </c>
      <c r="AN281" s="1" t="s">
        <v>437</v>
      </c>
      <c r="AO281" s="1" t="s">
        <v>437</v>
      </c>
      <c r="AP281" s="1" t="s">
        <v>437</v>
      </c>
      <c r="AQ281" s="1" t="s">
        <v>437</v>
      </c>
      <c r="AR281" s="1" t="s">
        <v>437</v>
      </c>
      <c r="AS281" s="1" t="s">
        <v>437</v>
      </c>
      <c r="AT281" s="1" t="s">
        <v>437</v>
      </c>
      <c r="AU281" s="1" t="s">
        <v>437</v>
      </c>
      <c r="AV281" s="168">
        <v>45383</v>
      </c>
      <c r="AW281" s="1">
        <f t="shared" ca="1" si="20"/>
        <v>1</v>
      </c>
      <c r="AX281" s="1" t="s">
        <v>445</v>
      </c>
      <c r="AY281" s="1">
        <v>4</v>
      </c>
      <c r="BA281" s="184" t="s">
        <v>10</v>
      </c>
      <c r="BB281" s="1" t="s">
        <v>446</v>
      </c>
      <c r="BD281" s="1">
        <v>1</v>
      </c>
      <c r="BE281" s="1">
        <v>1</v>
      </c>
      <c r="BJ281" s="1">
        <v>1</v>
      </c>
      <c r="BK281" s="1" t="s">
        <v>466</v>
      </c>
      <c r="CI281" s="15" t="s">
        <v>288</v>
      </c>
      <c r="CQ281" s="170"/>
      <c r="CR281" s="170"/>
      <c r="CS281" s="170"/>
      <c r="CT281" s="170"/>
      <c r="CU281" s="170"/>
      <c r="CV281" s="170"/>
      <c r="CW281" s="170"/>
      <c r="CX281" s="170"/>
      <c r="CY281" s="170"/>
      <c r="CZ281" s="170"/>
      <c r="DA281" s="170"/>
      <c r="DB281" s="170"/>
      <c r="DC281" s="170"/>
    </row>
    <row r="282" spans="1:107" hidden="1">
      <c r="A282" s="4">
        <v>281</v>
      </c>
      <c r="B282" s="171">
        <v>23644</v>
      </c>
      <c r="C282" s="201" t="s">
        <v>283</v>
      </c>
      <c r="D282" s="202" t="s">
        <v>418</v>
      </c>
      <c r="E282" s="1">
        <f t="shared" ca="1" si="18"/>
        <v>60</v>
      </c>
      <c r="F282" s="1">
        <f t="shared" si="19"/>
        <v>50</v>
      </c>
      <c r="H282" s="1" t="s">
        <v>12</v>
      </c>
      <c r="I282" s="1" t="s">
        <v>12</v>
      </c>
      <c r="AV282" s="168">
        <v>42262</v>
      </c>
      <c r="AW282" s="1">
        <f t="shared" ca="1" si="20"/>
        <v>9</v>
      </c>
      <c r="AX282" s="1" t="s">
        <v>63</v>
      </c>
      <c r="AY282" s="1">
        <v>0</v>
      </c>
      <c r="AZ282" s="1">
        <v>1</v>
      </c>
      <c r="BA282" s="184"/>
      <c r="CG282" s="1">
        <v>1</v>
      </c>
      <c r="CI282" s="15" t="s">
        <v>289</v>
      </c>
      <c r="CQ282" s="170"/>
      <c r="CR282" s="170"/>
      <c r="CS282" s="170"/>
      <c r="CT282" s="170"/>
      <c r="CU282" s="170"/>
      <c r="CV282" s="170"/>
      <c r="CW282" s="170"/>
      <c r="CX282" s="170"/>
      <c r="CY282" s="170"/>
      <c r="CZ282" s="170"/>
      <c r="DA282" s="170"/>
      <c r="DB282" s="170"/>
      <c r="DC282" s="170"/>
    </row>
    <row r="283" spans="1:107" hidden="1">
      <c r="A283" s="4">
        <v>282</v>
      </c>
      <c r="B283" s="171">
        <v>35099</v>
      </c>
      <c r="C283" s="201" t="s">
        <v>283</v>
      </c>
      <c r="D283" s="202" t="s">
        <v>170</v>
      </c>
      <c r="E283" s="1">
        <f t="shared" ca="1" si="18"/>
        <v>29</v>
      </c>
      <c r="F283" s="1">
        <f t="shared" si="19"/>
        <v>28</v>
      </c>
      <c r="G283" s="1" t="s">
        <v>8</v>
      </c>
      <c r="H283" s="1" t="s">
        <v>12</v>
      </c>
      <c r="I283" s="1" t="s">
        <v>12</v>
      </c>
      <c r="J283" s="1">
        <v>170</v>
      </c>
      <c r="K283" s="1">
        <v>70</v>
      </c>
      <c r="M283" s="1">
        <v>0</v>
      </c>
      <c r="N283" s="1">
        <v>0</v>
      </c>
      <c r="O283" s="1">
        <v>0</v>
      </c>
      <c r="P283" s="1">
        <v>27</v>
      </c>
      <c r="Q283" s="1">
        <v>48</v>
      </c>
      <c r="R283" s="1">
        <v>8</v>
      </c>
      <c r="S283" s="1">
        <v>4</v>
      </c>
      <c r="T283" s="1">
        <v>96</v>
      </c>
      <c r="U283" s="1">
        <v>223</v>
      </c>
      <c r="W283" s="1">
        <v>2122</v>
      </c>
      <c r="X283" s="1">
        <v>0</v>
      </c>
      <c r="Y283" s="1">
        <v>0</v>
      </c>
      <c r="Z283" s="1">
        <v>0</v>
      </c>
      <c r="AA283" s="1">
        <v>0</v>
      </c>
      <c r="AC283" s="1" t="s">
        <v>91</v>
      </c>
      <c r="AH283" s="1" t="s">
        <v>110</v>
      </c>
      <c r="AK283" s="1">
        <v>0.66800000000000004</v>
      </c>
      <c r="AL283" s="1" t="s">
        <v>437</v>
      </c>
      <c r="AN283" s="1" t="s">
        <v>437</v>
      </c>
      <c r="AO283" s="1" t="s">
        <v>437</v>
      </c>
      <c r="AP283" s="1" t="s">
        <v>437</v>
      </c>
      <c r="AQ283" s="1" t="s">
        <v>437</v>
      </c>
      <c r="AR283" s="1" t="s">
        <v>437</v>
      </c>
      <c r="AS283" s="1" t="s">
        <v>437</v>
      </c>
      <c r="AT283" s="1" t="s">
        <v>437</v>
      </c>
      <c r="AU283" s="1" t="s">
        <v>437</v>
      </c>
      <c r="AV283" s="168">
        <v>45444</v>
      </c>
      <c r="AW283" s="1">
        <f t="shared" ca="1" si="20"/>
        <v>1</v>
      </c>
      <c r="AX283" s="1" t="s">
        <v>445</v>
      </c>
      <c r="AY283" s="1">
        <v>2.82</v>
      </c>
      <c r="BA283" s="184"/>
      <c r="BB283" s="1" t="s">
        <v>34</v>
      </c>
      <c r="CI283" s="15" t="s">
        <v>290</v>
      </c>
      <c r="CQ283" s="170"/>
      <c r="CR283" s="170"/>
      <c r="CS283" s="170"/>
      <c r="CT283" s="170"/>
      <c r="CU283" s="170"/>
      <c r="CV283" s="170"/>
      <c r="CW283" s="170"/>
      <c r="CX283" s="170"/>
      <c r="CY283" s="170"/>
      <c r="CZ283" s="170"/>
      <c r="DA283" s="170"/>
      <c r="DB283" s="170"/>
      <c r="DC283" s="170"/>
    </row>
    <row r="284" spans="1:107" hidden="1">
      <c r="A284" s="4">
        <v>283</v>
      </c>
      <c r="B284" s="171">
        <v>18699</v>
      </c>
      <c r="C284" s="201" t="s">
        <v>283</v>
      </c>
      <c r="D284" s="202" t="s">
        <v>418</v>
      </c>
      <c r="E284" s="1">
        <f t="shared" ref="E284:E315" ca="1" si="21">DATEDIF(B284,TODAY(),"Y")</f>
        <v>74</v>
      </c>
      <c r="F284" s="1">
        <f t="shared" si="19"/>
        <v>65</v>
      </c>
      <c r="H284" s="1" t="s">
        <v>12</v>
      </c>
      <c r="I284" s="1" t="s">
        <v>13</v>
      </c>
      <c r="J284" s="1">
        <v>163</v>
      </c>
      <c r="K284" s="1">
        <v>58</v>
      </c>
      <c r="M284" s="1">
        <v>0</v>
      </c>
      <c r="N284" s="1">
        <v>0</v>
      </c>
      <c r="O284" s="1">
        <v>0</v>
      </c>
      <c r="Z284" s="1">
        <v>0</v>
      </c>
      <c r="AA284" s="1">
        <v>0</v>
      </c>
      <c r="AL284" s="1" t="s">
        <v>437</v>
      </c>
      <c r="AN284" s="1" t="s">
        <v>437</v>
      </c>
      <c r="AO284" s="1" t="s">
        <v>437</v>
      </c>
      <c r="AP284" s="1" t="s">
        <v>437</v>
      </c>
      <c r="AQ284" s="1" t="s">
        <v>437</v>
      </c>
      <c r="AR284" s="1" t="s">
        <v>440</v>
      </c>
      <c r="AS284" s="1" t="s">
        <v>437</v>
      </c>
      <c r="AT284" s="1" t="s">
        <v>437</v>
      </c>
      <c r="AU284" s="1" t="s">
        <v>437</v>
      </c>
      <c r="AV284" s="168">
        <v>42492</v>
      </c>
      <c r="AW284" s="1">
        <f t="shared" ca="1" si="20"/>
        <v>9</v>
      </c>
      <c r="AX284" s="1" t="s">
        <v>63</v>
      </c>
      <c r="AY284" s="1">
        <v>0</v>
      </c>
      <c r="BA284" s="184" t="s">
        <v>356</v>
      </c>
      <c r="CI284" s="15" t="s">
        <v>291</v>
      </c>
      <c r="CQ284" s="170"/>
      <c r="CR284" s="170"/>
      <c r="CS284" s="170"/>
      <c r="CT284" s="170"/>
      <c r="CU284" s="170"/>
      <c r="CV284" s="170"/>
      <c r="CW284" s="170"/>
      <c r="CX284" s="170"/>
      <c r="CY284" s="170"/>
      <c r="CZ284" s="170"/>
      <c r="DA284" s="170"/>
      <c r="DB284" s="170"/>
      <c r="DC284" s="170"/>
    </row>
    <row r="285" spans="1:107" hidden="1">
      <c r="A285" s="4">
        <v>284</v>
      </c>
      <c r="B285" s="171">
        <v>31902</v>
      </c>
      <c r="C285" s="201" t="s">
        <v>283</v>
      </c>
      <c r="D285" s="202" t="s">
        <v>418</v>
      </c>
      <c r="E285" s="1">
        <f t="shared" ca="1" si="21"/>
        <v>38</v>
      </c>
      <c r="F285" s="1">
        <f t="shared" si="19"/>
        <v>29</v>
      </c>
      <c r="H285" s="1" t="s">
        <v>14</v>
      </c>
      <c r="I285" s="1" t="s">
        <v>14</v>
      </c>
      <c r="J285" s="1">
        <v>185</v>
      </c>
      <c r="K285" s="1">
        <v>83</v>
      </c>
      <c r="Z285" s="1">
        <v>1</v>
      </c>
      <c r="AA285" s="1">
        <v>1</v>
      </c>
      <c r="AH285" s="1" t="s">
        <v>128</v>
      </c>
      <c r="AL285" s="1" t="s">
        <v>437</v>
      </c>
      <c r="AN285" s="1" t="s">
        <v>437</v>
      </c>
      <c r="AO285" s="1" t="s">
        <v>437</v>
      </c>
      <c r="AP285" s="1" t="s">
        <v>437</v>
      </c>
      <c r="AQ285" s="1" t="s">
        <v>437</v>
      </c>
      <c r="AR285" s="1" t="s">
        <v>437</v>
      </c>
      <c r="AS285" s="1" t="s">
        <v>437</v>
      </c>
      <c r="AT285" s="1" t="s">
        <v>437</v>
      </c>
      <c r="AU285" s="1" t="s">
        <v>437</v>
      </c>
      <c r="AV285" s="168">
        <v>42825</v>
      </c>
      <c r="AW285" s="1">
        <f t="shared" ca="1" si="20"/>
        <v>8</v>
      </c>
      <c r="AX285" s="1" t="s">
        <v>444</v>
      </c>
      <c r="AY285" s="1">
        <v>5.12</v>
      </c>
      <c r="BA285" s="184"/>
      <c r="CG285" s="1">
        <v>1</v>
      </c>
      <c r="CI285" s="15" t="s">
        <v>292</v>
      </c>
      <c r="CQ285" s="170"/>
      <c r="CR285" s="170"/>
      <c r="CS285" s="170"/>
      <c r="CT285" s="170"/>
      <c r="CU285" s="170"/>
      <c r="CV285" s="170"/>
      <c r="CW285" s="170"/>
      <c r="CX285" s="170"/>
      <c r="CY285" s="170"/>
      <c r="CZ285" s="170"/>
      <c r="DA285" s="170"/>
      <c r="DB285" s="170"/>
      <c r="DC285" s="170"/>
    </row>
    <row r="286" spans="1:107" ht="28.8" hidden="1">
      <c r="A286" s="4">
        <v>285</v>
      </c>
      <c r="B286" s="171">
        <v>25569</v>
      </c>
      <c r="C286" s="201" t="s">
        <v>283</v>
      </c>
      <c r="D286" s="202" t="s">
        <v>170</v>
      </c>
      <c r="E286" s="1">
        <f t="shared" ca="1" si="21"/>
        <v>55</v>
      </c>
      <c r="F286" s="1">
        <f t="shared" si="19"/>
        <v>43</v>
      </c>
      <c r="H286" s="1" t="s">
        <v>12</v>
      </c>
      <c r="I286" s="1" t="s">
        <v>12</v>
      </c>
      <c r="J286" s="1">
        <v>155</v>
      </c>
      <c r="M286" s="1">
        <v>0</v>
      </c>
      <c r="N286" s="1">
        <v>0</v>
      </c>
      <c r="O286" s="1">
        <v>0</v>
      </c>
      <c r="Z286" s="1">
        <v>0</v>
      </c>
      <c r="AA286" s="1">
        <v>1</v>
      </c>
      <c r="AH286" s="1" t="s">
        <v>128</v>
      </c>
      <c r="AL286" s="1" t="s">
        <v>437</v>
      </c>
      <c r="AN286" s="1" t="s">
        <v>437</v>
      </c>
      <c r="AO286" s="1" t="s">
        <v>437</v>
      </c>
      <c r="AP286" s="1" t="s">
        <v>437</v>
      </c>
      <c r="AQ286" s="1" t="s">
        <v>437</v>
      </c>
      <c r="AR286" s="1" t="s">
        <v>437</v>
      </c>
      <c r="AS286" s="1" t="s">
        <v>437</v>
      </c>
      <c r="AT286" s="1" t="s">
        <v>437</v>
      </c>
      <c r="AU286" s="1" t="s">
        <v>437</v>
      </c>
      <c r="AV286" s="168">
        <v>41485</v>
      </c>
      <c r="AW286" s="1">
        <f t="shared" ca="1" si="20"/>
        <v>11</v>
      </c>
      <c r="AX286" s="1" t="s">
        <v>63</v>
      </c>
      <c r="AY286" s="1">
        <v>0</v>
      </c>
      <c r="BA286" s="184" t="s">
        <v>34</v>
      </c>
      <c r="BB286" s="1" t="s">
        <v>34</v>
      </c>
      <c r="CI286" s="15" t="s">
        <v>293</v>
      </c>
      <c r="CQ286" s="170"/>
      <c r="CR286" s="170"/>
      <c r="CS286" s="170"/>
      <c r="CT286" s="170"/>
      <c r="CU286" s="170"/>
      <c r="CV286" s="170"/>
      <c r="CW286" s="170"/>
      <c r="CX286" s="170"/>
      <c r="CY286" s="170"/>
      <c r="CZ286" s="170"/>
      <c r="DA286" s="170"/>
      <c r="DB286" s="170"/>
      <c r="DC286" s="170"/>
    </row>
    <row r="287" spans="1:107" hidden="1">
      <c r="A287" s="4">
        <v>286</v>
      </c>
      <c r="B287" s="171">
        <v>24848</v>
      </c>
      <c r="C287" s="201" t="s">
        <v>283</v>
      </c>
      <c r="D287" s="202" t="s">
        <v>170</v>
      </c>
      <c r="E287" s="1">
        <f t="shared" ca="1" si="21"/>
        <v>57</v>
      </c>
      <c r="F287" s="1">
        <f t="shared" ref="F287:F317" si="22">DATEDIF(B287,AV287,"Y")</f>
        <v>43</v>
      </c>
      <c r="H287" s="1" t="s">
        <v>12</v>
      </c>
      <c r="I287" s="1" t="s">
        <v>13</v>
      </c>
      <c r="K287" s="1">
        <v>75</v>
      </c>
      <c r="M287" s="1">
        <v>1</v>
      </c>
      <c r="N287" s="1">
        <v>1</v>
      </c>
      <c r="O287" s="1">
        <v>0</v>
      </c>
      <c r="W287" s="1">
        <v>1669</v>
      </c>
      <c r="Y287" s="1">
        <v>0</v>
      </c>
      <c r="AA287" s="1">
        <v>1</v>
      </c>
      <c r="AH287" s="1" t="s">
        <v>110</v>
      </c>
      <c r="AL287" s="1" t="s">
        <v>437</v>
      </c>
      <c r="AN287" s="1" t="s">
        <v>437</v>
      </c>
      <c r="AO287" s="1" t="s">
        <v>437</v>
      </c>
      <c r="AP287" s="1" t="s">
        <v>437</v>
      </c>
      <c r="AQ287" s="1" t="s">
        <v>437</v>
      </c>
      <c r="AR287" s="1" t="s">
        <v>437</v>
      </c>
      <c r="AS287" s="1" t="s">
        <v>437</v>
      </c>
      <c r="AT287" s="1" t="s">
        <v>437</v>
      </c>
      <c r="AU287" s="1" t="s">
        <v>437</v>
      </c>
      <c r="AV287" s="168">
        <v>40634</v>
      </c>
      <c r="AW287" s="1">
        <f t="shared" ca="1" si="20"/>
        <v>14</v>
      </c>
      <c r="AX287" s="1" t="s">
        <v>63</v>
      </c>
      <c r="AY287" s="1">
        <v>0</v>
      </c>
      <c r="BA287" s="184" t="s">
        <v>34</v>
      </c>
      <c r="BB287" s="1" t="s">
        <v>34</v>
      </c>
      <c r="CQ287" s="170"/>
      <c r="CR287" s="170"/>
      <c r="CS287" s="170"/>
      <c r="CT287" s="170"/>
      <c r="CU287" s="170"/>
      <c r="CV287" s="170"/>
      <c r="CW287" s="170"/>
      <c r="CX287" s="170"/>
      <c r="CY287" s="170"/>
      <c r="CZ287" s="170"/>
      <c r="DA287" s="170"/>
      <c r="DB287" s="170"/>
      <c r="DC287" s="170"/>
    </row>
    <row r="288" spans="1:107" hidden="1">
      <c r="A288" s="4">
        <v>287</v>
      </c>
      <c r="B288" s="171">
        <v>32065</v>
      </c>
      <c r="C288" s="201" t="s">
        <v>283</v>
      </c>
      <c r="D288" s="202" t="s">
        <v>170</v>
      </c>
      <c r="E288" s="1">
        <f t="shared" ca="1" si="21"/>
        <v>37</v>
      </c>
      <c r="F288" s="1">
        <f t="shared" si="22"/>
        <v>20</v>
      </c>
      <c r="G288" s="1" t="s">
        <v>419</v>
      </c>
      <c r="H288" s="1" t="s">
        <v>12</v>
      </c>
      <c r="I288" s="1" t="s">
        <v>12</v>
      </c>
      <c r="J288" s="1">
        <v>162</v>
      </c>
      <c r="K288" s="1">
        <v>77</v>
      </c>
      <c r="Z288" s="1">
        <v>0</v>
      </c>
      <c r="AA288" s="1">
        <v>1</v>
      </c>
      <c r="AV288" s="168">
        <v>39614</v>
      </c>
      <c r="AW288" s="1">
        <f t="shared" ca="1" si="20"/>
        <v>17</v>
      </c>
      <c r="AX288" s="1" t="s">
        <v>445</v>
      </c>
      <c r="AY288" s="1">
        <v>8.74</v>
      </c>
      <c r="BA288" s="184"/>
      <c r="CI288" s="15" t="s">
        <v>294</v>
      </c>
      <c r="CQ288" s="170"/>
      <c r="CR288" s="170"/>
      <c r="CS288" s="170"/>
      <c r="CT288" s="170"/>
      <c r="CU288" s="170"/>
      <c r="CV288" s="170"/>
      <c r="CW288" s="170"/>
      <c r="CX288" s="170"/>
      <c r="CY288" s="170"/>
      <c r="CZ288" s="170"/>
      <c r="DA288" s="170"/>
      <c r="DB288" s="170"/>
      <c r="DC288" s="170"/>
    </row>
    <row r="289" spans="1:107" ht="28.8" hidden="1">
      <c r="A289" s="4">
        <v>288</v>
      </c>
      <c r="B289" s="171">
        <v>24653</v>
      </c>
      <c r="C289" s="201" t="s">
        <v>283</v>
      </c>
      <c r="D289" s="202" t="s">
        <v>418</v>
      </c>
      <c r="E289" s="1">
        <f t="shared" ca="1" si="21"/>
        <v>58</v>
      </c>
      <c r="F289" s="1">
        <f t="shared" si="22"/>
        <v>22</v>
      </c>
      <c r="H289" s="169" t="s">
        <v>12</v>
      </c>
      <c r="I289" s="1" t="s">
        <v>12</v>
      </c>
      <c r="J289" s="1">
        <v>166</v>
      </c>
      <c r="K289" s="1">
        <v>63</v>
      </c>
      <c r="Z289" s="1">
        <v>0</v>
      </c>
      <c r="AA289" s="1">
        <v>1</v>
      </c>
      <c r="AH289" s="1" t="s">
        <v>110</v>
      </c>
      <c r="AL289" s="1" t="s">
        <v>437</v>
      </c>
      <c r="AN289" s="1" t="s">
        <v>437</v>
      </c>
      <c r="AO289" s="1" t="s">
        <v>437</v>
      </c>
      <c r="AP289" s="1" t="s">
        <v>437</v>
      </c>
      <c r="AQ289" s="1" t="s">
        <v>437</v>
      </c>
      <c r="AR289" s="1" t="s">
        <v>437</v>
      </c>
      <c r="AS289" s="1" t="s">
        <v>437</v>
      </c>
      <c r="AT289" s="1" t="s">
        <v>437</v>
      </c>
      <c r="AU289" s="1" t="s">
        <v>437</v>
      </c>
      <c r="AV289" s="168">
        <v>32874</v>
      </c>
      <c r="AW289" s="1">
        <f t="shared" ca="1" si="20"/>
        <v>35</v>
      </c>
      <c r="AX289" s="1" t="s">
        <v>63</v>
      </c>
      <c r="AY289" s="1">
        <v>5.37</v>
      </c>
      <c r="BA289" s="184"/>
      <c r="BB289" s="1" t="s">
        <v>448</v>
      </c>
      <c r="BE289" s="1">
        <v>1</v>
      </c>
      <c r="BK289" s="1" t="s">
        <v>466</v>
      </c>
      <c r="CI289" s="15" t="s">
        <v>295</v>
      </c>
      <c r="CQ289" s="170"/>
      <c r="CR289" s="170"/>
      <c r="CS289" s="170"/>
      <c r="CT289" s="170"/>
      <c r="CU289" s="170"/>
      <c r="CV289" s="170"/>
      <c r="CW289" s="170"/>
      <c r="CX289" s="170"/>
      <c r="CY289" s="170"/>
      <c r="CZ289" s="170"/>
      <c r="DA289" s="170"/>
      <c r="DB289" s="170"/>
      <c r="DC289" s="170"/>
    </row>
    <row r="290" spans="1:107" hidden="1">
      <c r="A290" s="4">
        <v>289</v>
      </c>
      <c r="B290" s="171">
        <v>33233</v>
      </c>
      <c r="C290" s="201" t="s">
        <v>283</v>
      </c>
      <c r="D290" s="202" t="s">
        <v>418</v>
      </c>
      <c r="E290" s="1">
        <f t="shared" ca="1" si="21"/>
        <v>34</v>
      </c>
      <c r="F290" s="1">
        <f t="shared" si="22"/>
        <v>30</v>
      </c>
      <c r="H290" s="1" t="s">
        <v>12</v>
      </c>
      <c r="I290" s="1" t="s">
        <v>12</v>
      </c>
      <c r="J290" s="1">
        <v>175</v>
      </c>
      <c r="K290" s="1">
        <v>66</v>
      </c>
      <c r="P290" s="1">
        <v>78</v>
      </c>
      <c r="Q290" s="1">
        <v>138</v>
      </c>
      <c r="R290" s="1">
        <v>105</v>
      </c>
      <c r="S290" s="1">
        <v>8</v>
      </c>
      <c r="T290" s="1">
        <v>81</v>
      </c>
      <c r="U290" s="1">
        <v>161</v>
      </c>
      <c r="W290" s="1">
        <v>1976</v>
      </c>
      <c r="X290" s="1">
        <v>1</v>
      </c>
      <c r="Y290" s="1">
        <v>0</v>
      </c>
      <c r="Z290" s="1">
        <v>0</v>
      </c>
      <c r="AA290" s="1">
        <v>0</v>
      </c>
      <c r="AC290" s="1" t="s">
        <v>91</v>
      </c>
      <c r="AH290" s="1" t="s">
        <v>110</v>
      </c>
      <c r="AL290" s="1" t="s">
        <v>437</v>
      </c>
      <c r="AN290" s="1" t="s">
        <v>437</v>
      </c>
      <c r="AO290" s="1" t="s">
        <v>437</v>
      </c>
      <c r="AP290" s="1" t="s">
        <v>437</v>
      </c>
      <c r="AQ290" s="1" t="s">
        <v>437</v>
      </c>
      <c r="AR290" s="1" t="s">
        <v>437</v>
      </c>
      <c r="AS290" s="1" t="s">
        <v>437</v>
      </c>
      <c r="AT290" s="1" t="s">
        <v>437</v>
      </c>
      <c r="AU290" s="1" t="s">
        <v>437</v>
      </c>
      <c r="AV290" s="168">
        <v>44531</v>
      </c>
      <c r="AW290" s="1">
        <f t="shared" ca="1" si="20"/>
        <v>3</v>
      </c>
      <c r="AX290" s="1" t="s">
        <v>63</v>
      </c>
      <c r="AY290" s="1">
        <v>4.21</v>
      </c>
      <c r="BA290" s="184"/>
      <c r="CG290" s="1">
        <v>1</v>
      </c>
      <c r="CI290" s="15" t="s">
        <v>297</v>
      </c>
      <c r="CQ290" s="170"/>
      <c r="CR290" s="170"/>
      <c r="CS290" s="170"/>
      <c r="CT290" s="170" t="s">
        <v>296</v>
      </c>
      <c r="CU290" s="170"/>
      <c r="CV290" s="170"/>
      <c r="CW290" s="170"/>
      <c r="CX290" s="170"/>
      <c r="CY290" s="170"/>
      <c r="CZ290" s="170"/>
      <c r="DA290" s="170"/>
      <c r="DB290" s="170"/>
      <c r="DC290" s="170"/>
    </row>
    <row r="291" spans="1:107" hidden="1">
      <c r="A291" s="4">
        <v>290</v>
      </c>
      <c r="B291" s="171">
        <v>32089</v>
      </c>
      <c r="C291" s="201" t="s">
        <v>283</v>
      </c>
      <c r="D291" s="202" t="s">
        <v>418</v>
      </c>
      <c r="E291" s="1">
        <f t="shared" ca="1" si="21"/>
        <v>37</v>
      </c>
      <c r="F291" s="1">
        <f t="shared" si="22"/>
        <v>20</v>
      </c>
      <c r="H291" s="1" t="s">
        <v>12</v>
      </c>
      <c r="I291" s="1" t="s">
        <v>12</v>
      </c>
      <c r="AV291" s="168">
        <v>39708</v>
      </c>
      <c r="AW291" s="1">
        <f t="shared" ca="1" si="20"/>
        <v>16</v>
      </c>
      <c r="AX291" s="1" t="s">
        <v>63</v>
      </c>
      <c r="BA291" s="184"/>
      <c r="CQ291" s="170"/>
      <c r="CR291" s="170"/>
      <c r="CS291" s="170"/>
      <c r="CT291" s="170"/>
      <c r="CU291" s="170"/>
      <c r="CV291" s="170"/>
      <c r="CW291" s="170"/>
      <c r="CX291" s="170"/>
      <c r="CY291" s="170"/>
      <c r="CZ291" s="170"/>
      <c r="DA291" s="170"/>
      <c r="DB291" s="170"/>
      <c r="DC291" s="170"/>
    </row>
    <row r="292" spans="1:107" hidden="1">
      <c r="A292" s="4">
        <v>291</v>
      </c>
      <c r="B292" s="171">
        <v>32937</v>
      </c>
      <c r="C292" s="201" t="s">
        <v>283</v>
      </c>
      <c r="D292" s="202" t="s">
        <v>170</v>
      </c>
      <c r="E292" s="1">
        <f t="shared" ca="1" si="21"/>
        <v>35</v>
      </c>
      <c r="F292" s="1">
        <f t="shared" si="22"/>
        <v>33</v>
      </c>
      <c r="H292" s="1" t="s">
        <v>12</v>
      </c>
      <c r="I292" s="1" t="s">
        <v>12</v>
      </c>
      <c r="J292" s="1">
        <v>166</v>
      </c>
      <c r="K292" s="1">
        <v>49</v>
      </c>
      <c r="M292" s="1">
        <v>0</v>
      </c>
      <c r="N292" s="1">
        <v>0</v>
      </c>
      <c r="O292" s="1">
        <v>0</v>
      </c>
      <c r="P292" s="1">
        <v>53</v>
      </c>
      <c r="Q292" s="1">
        <v>72</v>
      </c>
      <c r="R292" s="1">
        <v>80</v>
      </c>
      <c r="S292" s="1">
        <v>4</v>
      </c>
      <c r="T292" s="1">
        <v>83</v>
      </c>
      <c r="U292" s="1">
        <v>89</v>
      </c>
      <c r="V292" s="1">
        <v>43</v>
      </c>
      <c r="W292" s="1">
        <v>1833</v>
      </c>
      <c r="X292" s="1">
        <v>1</v>
      </c>
      <c r="Y292" s="1">
        <v>603</v>
      </c>
      <c r="Z292" s="1">
        <v>0</v>
      </c>
      <c r="AA292" s="1">
        <v>0</v>
      </c>
      <c r="AC292" s="1" t="s">
        <v>91</v>
      </c>
      <c r="AH292" s="1" t="s">
        <v>110</v>
      </c>
      <c r="AL292" s="1" t="s">
        <v>437</v>
      </c>
      <c r="AN292" s="1" t="s">
        <v>437</v>
      </c>
      <c r="AO292" s="1" t="s">
        <v>437</v>
      </c>
      <c r="AP292" s="1" t="s">
        <v>437</v>
      </c>
      <c r="AQ292" s="1" t="s">
        <v>437</v>
      </c>
      <c r="AR292" s="1" t="s">
        <v>437</v>
      </c>
      <c r="AS292" s="1" t="s">
        <v>437</v>
      </c>
      <c r="AT292" s="1" t="s">
        <v>437</v>
      </c>
      <c r="AU292" s="1" t="s">
        <v>437</v>
      </c>
      <c r="AV292" s="168">
        <v>45200</v>
      </c>
      <c r="AW292" s="1">
        <f t="shared" ca="1" si="20"/>
        <v>1</v>
      </c>
      <c r="AX292" s="1" t="s">
        <v>63</v>
      </c>
      <c r="AY292" s="1">
        <v>4.63</v>
      </c>
      <c r="BA292" s="184" t="s">
        <v>34</v>
      </c>
      <c r="BB292" s="184" t="s">
        <v>34</v>
      </c>
      <c r="CI292" s="15" t="s">
        <v>298</v>
      </c>
      <c r="CQ292" s="170"/>
      <c r="CR292" s="170"/>
      <c r="CS292" s="170"/>
      <c r="CT292" s="170"/>
      <c r="CU292" s="170"/>
      <c r="CV292" s="170"/>
      <c r="CW292" s="170"/>
      <c r="CX292" s="170"/>
      <c r="CY292" s="170"/>
      <c r="CZ292" s="170"/>
      <c r="DA292" s="170"/>
      <c r="DB292" s="170"/>
      <c r="DC292" s="170"/>
    </row>
    <row r="293" spans="1:107" hidden="1">
      <c r="A293" s="4">
        <v>292</v>
      </c>
      <c r="B293" s="171">
        <v>25616</v>
      </c>
      <c r="C293" s="201" t="s">
        <v>283</v>
      </c>
      <c r="D293" s="202" t="s">
        <v>418</v>
      </c>
      <c r="E293" s="1">
        <f t="shared" ca="1" si="21"/>
        <v>55</v>
      </c>
      <c r="F293" s="1">
        <f t="shared" si="22"/>
        <v>48</v>
      </c>
      <c r="H293" s="1" t="s">
        <v>14</v>
      </c>
      <c r="I293" s="1" t="s">
        <v>14</v>
      </c>
      <c r="J293" s="1">
        <v>180</v>
      </c>
      <c r="K293" s="1">
        <v>60</v>
      </c>
      <c r="M293" s="1">
        <v>0</v>
      </c>
      <c r="N293" s="1">
        <v>0</v>
      </c>
      <c r="O293" s="1">
        <v>0</v>
      </c>
      <c r="P293" s="1">
        <v>74</v>
      </c>
      <c r="Q293" s="1">
        <v>93</v>
      </c>
      <c r="R293" s="1">
        <v>251</v>
      </c>
      <c r="S293" s="1">
        <v>20</v>
      </c>
      <c r="T293" s="1">
        <v>63</v>
      </c>
      <c r="U293" s="1">
        <v>155</v>
      </c>
      <c r="V293" s="1">
        <v>37</v>
      </c>
      <c r="W293" s="1">
        <v>2637</v>
      </c>
      <c r="X293" s="1">
        <v>0</v>
      </c>
      <c r="Y293" s="1">
        <v>0</v>
      </c>
      <c r="Z293" s="1">
        <v>1</v>
      </c>
      <c r="AA293" s="1">
        <v>0</v>
      </c>
      <c r="AC293" s="1" t="s">
        <v>128</v>
      </c>
      <c r="AH293" s="1" t="s">
        <v>128</v>
      </c>
      <c r="AL293" s="1" t="s">
        <v>437</v>
      </c>
      <c r="AN293" s="1" t="s">
        <v>437</v>
      </c>
      <c r="AO293" s="1" t="s">
        <v>437</v>
      </c>
      <c r="AP293" s="1" t="s">
        <v>437</v>
      </c>
      <c r="AQ293" s="1" t="s">
        <v>437</v>
      </c>
      <c r="AR293" s="1" t="s">
        <v>437</v>
      </c>
      <c r="AS293" s="1" t="s">
        <v>437</v>
      </c>
      <c r="AT293" s="1" t="s">
        <v>437</v>
      </c>
      <c r="AU293" s="1" t="s">
        <v>437</v>
      </c>
      <c r="AV293" s="168">
        <v>43282</v>
      </c>
      <c r="AW293" s="1">
        <f t="shared" ca="1" si="20"/>
        <v>7</v>
      </c>
      <c r="AX293" s="1" t="s">
        <v>444</v>
      </c>
      <c r="AY293" s="1">
        <v>6.86</v>
      </c>
      <c r="BA293" s="184" t="s">
        <v>34</v>
      </c>
      <c r="BB293" s="1" t="s">
        <v>34</v>
      </c>
      <c r="CQ293" s="170"/>
      <c r="CR293" s="170"/>
      <c r="CS293" s="170"/>
      <c r="CT293" s="170"/>
      <c r="CU293" s="170"/>
      <c r="CV293" s="170"/>
      <c r="CW293" s="170"/>
      <c r="CX293" s="170"/>
      <c r="CY293" s="170"/>
      <c r="CZ293" s="170"/>
      <c r="DA293" s="170"/>
      <c r="DB293" s="170"/>
      <c r="DC293" s="170"/>
    </row>
    <row r="294" spans="1:107" hidden="1">
      <c r="A294" s="4">
        <v>293</v>
      </c>
      <c r="B294" s="171">
        <v>30733</v>
      </c>
      <c r="C294" s="1" t="s">
        <v>299</v>
      </c>
      <c r="D294" s="1" t="s">
        <v>418</v>
      </c>
      <c r="E294" s="1">
        <f t="shared" ca="1" si="21"/>
        <v>41</v>
      </c>
      <c r="F294" s="1">
        <f t="shared" si="22"/>
        <v>40</v>
      </c>
      <c r="AV294" s="168">
        <v>45436</v>
      </c>
      <c r="AW294" s="1">
        <f t="shared" ca="1" si="20"/>
        <v>1</v>
      </c>
      <c r="AX294" s="1" t="s">
        <v>63</v>
      </c>
      <c r="AY294" s="1">
        <v>0</v>
      </c>
      <c r="BA294" s="184"/>
      <c r="CQ294" s="170"/>
      <c r="CR294" s="170"/>
      <c r="CS294" s="170"/>
      <c r="CT294" s="170"/>
      <c r="CU294" s="170"/>
      <c r="CV294" s="170"/>
      <c r="CW294" s="170"/>
      <c r="CX294" s="170"/>
      <c r="CY294" s="170"/>
      <c r="CZ294" s="170"/>
      <c r="DA294" s="170"/>
      <c r="DB294" s="170"/>
      <c r="DC294" s="170"/>
    </row>
    <row r="295" spans="1:107" hidden="1">
      <c r="A295" s="4">
        <v>294</v>
      </c>
      <c r="B295" s="171">
        <v>36199</v>
      </c>
      <c r="C295" s="1" t="s">
        <v>299</v>
      </c>
      <c r="D295" s="1" t="s">
        <v>170</v>
      </c>
      <c r="E295" s="1">
        <f t="shared" ca="1" si="21"/>
        <v>26</v>
      </c>
      <c r="F295" s="1">
        <f t="shared" si="22"/>
        <v>23</v>
      </c>
      <c r="AV295" s="168">
        <v>44775</v>
      </c>
      <c r="AW295" s="1">
        <f t="shared" ca="1" si="20"/>
        <v>2</v>
      </c>
      <c r="AX295" s="1" t="s">
        <v>63</v>
      </c>
      <c r="AY295" s="1">
        <v>7.13</v>
      </c>
      <c r="BA295" s="184"/>
    </row>
    <row r="296" spans="1:107" hidden="1">
      <c r="A296" s="4">
        <v>295</v>
      </c>
      <c r="B296" s="171">
        <v>37511</v>
      </c>
      <c r="C296" s="1" t="s">
        <v>299</v>
      </c>
      <c r="D296" s="1" t="s">
        <v>170</v>
      </c>
      <c r="E296" s="1">
        <f t="shared" ca="1" si="21"/>
        <v>22</v>
      </c>
      <c r="F296" s="1">
        <f t="shared" si="22"/>
        <v>22</v>
      </c>
      <c r="AV296" s="168">
        <v>45664</v>
      </c>
      <c r="AW296" s="1">
        <f t="shared" ca="1" si="20"/>
        <v>0</v>
      </c>
      <c r="AX296" s="1" t="s">
        <v>63</v>
      </c>
      <c r="AY296" s="1">
        <v>0</v>
      </c>
      <c r="AZ296" s="1">
        <v>1</v>
      </c>
      <c r="BA296" s="203"/>
    </row>
    <row r="297" spans="1:107" hidden="1">
      <c r="A297" s="4">
        <v>296</v>
      </c>
      <c r="B297" s="171">
        <v>23141</v>
      </c>
      <c r="C297" s="1" t="s">
        <v>300</v>
      </c>
      <c r="D297" s="1" t="s">
        <v>170</v>
      </c>
      <c r="E297" s="1">
        <f t="shared" ca="1" si="21"/>
        <v>62</v>
      </c>
      <c r="F297" s="1">
        <f t="shared" si="22"/>
        <v>53</v>
      </c>
      <c r="AV297" s="168">
        <v>42849</v>
      </c>
      <c r="AW297" s="1">
        <f t="shared" ca="1" si="20"/>
        <v>8</v>
      </c>
      <c r="AX297" s="1" t="s">
        <v>63</v>
      </c>
      <c r="AY297" s="1">
        <v>0</v>
      </c>
      <c r="BA297" s="184"/>
    </row>
    <row r="298" spans="1:107" hidden="1">
      <c r="A298" s="4">
        <v>297</v>
      </c>
      <c r="B298" s="171">
        <v>33970</v>
      </c>
      <c r="C298" s="1" t="s">
        <v>300</v>
      </c>
      <c r="D298" s="1" t="s">
        <v>418</v>
      </c>
      <c r="E298" s="1">
        <f t="shared" ca="1" si="21"/>
        <v>32</v>
      </c>
      <c r="F298" s="1">
        <f t="shared" si="22"/>
        <v>31</v>
      </c>
      <c r="AV298" s="168">
        <v>45429</v>
      </c>
      <c r="AW298" s="1">
        <f t="shared" ca="1" si="20"/>
        <v>1</v>
      </c>
      <c r="AX298" s="1" t="s">
        <v>63</v>
      </c>
      <c r="AY298" s="1">
        <v>6.08</v>
      </c>
      <c r="BA298" s="184"/>
    </row>
    <row r="299" spans="1:107" hidden="1">
      <c r="A299" s="4">
        <v>298</v>
      </c>
      <c r="B299" s="171">
        <v>28906</v>
      </c>
      <c r="C299" s="1" t="s">
        <v>300</v>
      </c>
      <c r="D299" s="1" t="s">
        <v>170</v>
      </c>
      <c r="E299" s="1">
        <f t="shared" ca="1" si="21"/>
        <v>46</v>
      </c>
      <c r="F299" s="1">
        <f t="shared" si="22"/>
        <v>40</v>
      </c>
      <c r="AV299" s="168">
        <v>43774</v>
      </c>
      <c r="AW299" s="1">
        <f t="shared" ca="1" si="20"/>
        <v>5</v>
      </c>
      <c r="AX299" s="1" t="s">
        <v>63</v>
      </c>
      <c r="AY299" s="1">
        <v>0</v>
      </c>
      <c r="BA299" s="184"/>
    </row>
    <row r="300" spans="1:107" hidden="1">
      <c r="A300" s="4">
        <v>299</v>
      </c>
      <c r="B300" s="171">
        <v>30965</v>
      </c>
      <c r="C300" s="1" t="s">
        <v>300</v>
      </c>
      <c r="D300" s="1" t="s">
        <v>418</v>
      </c>
      <c r="E300" s="1">
        <f t="shared" ca="1" si="21"/>
        <v>40</v>
      </c>
      <c r="F300" s="1">
        <f t="shared" si="22"/>
        <v>39</v>
      </c>
      <c r="AV300" s="168">
        <v>45566</v>
      </c>
      <c r="AW300" s="1">
        <f t="shared" ca="1" si="20"/>
        <v>0</v>
      </c>
      <c r="AX300" s="1" t="s">
        <v>63</v>
      </c>
      <c r="AY300" s="1">
        <v>0</v>
      </c>
      <c r="AZ300" s="1">
        <v>1</v>
      </c>
      <c r="BA300" s="184"/>
    </row>
    <row r="301" spans="1:107" hidden="1">
      <c r="A301" s="4">
        <v>300</v>
      </c>
      <c r="B301" s="171">
        <v>32754</v>
      </c>
      <c r="C301" s="1" t="s">
        <v>301</v>
      </c>
      <c r="D301" s="1" t="s">
        <v>170</v>
      </c>
      <c r="E301" s="1">
        <f t="shared" ca="1" si="21"/>
        <v>35</v>
      </c>
      <c r="F301" s="1">
        <f t="shared" si="22"/>
        <v>32</v>
      </c>
      <c r="AV301" s="168">
        <v>44533</v>
      </c>
      <c r="AW301" s="1">
        <f t="shared" ca="1" si="20"/>
        <v>3</v>
      </c>
      <c r="AX301" s="1" t="s">
        <v>63</v>
      </c>
      <c r="AY301" s="1">
        <v>1.26</v>
      </c>
      <c r="BA301" s="184"/>
    </row>
    <row r="302" spans="1:107" hidden="1">
      <c r="A302" s="4">
        <v>301</v>
      </c>
      <c r="B302" s="171">
        <v>32703</v>
      </c>
      <c r="C302" s="1" t="s">
        <v>301</v>
      </c>
      <c r="D302" s="1" t="s">
        <v>418</v>
      </c>
      <c r="E302" s="1">
        <f t="shared" ca="1" si="21"/>
        <v>36</v>
      </c>
      <c r="F302" s="1">
        <f t="shared" si="22"/>
        <v>29</v>
      </c>
      <c r="AV302" s="168">
        <v>43627</v>
      </c>
      <c r="AW302" s="1">
        <f t="shared" ca="1" si="20"/>
        <v>6</v>
      </c>
      <c r="AX302" s="1" t="s">
        <v>63</v>
      </c>
      <c r="AY302" s="1">
        <v>0</v>
      </c>
      <c r="BA302" s="184"/>
    </row>
    <row r="303" spans="1:107" hidden="1">
      <c r="A303" s="4">
        <v>302</v>
      </c>
      <c r="B303" s="171">
        <v>21570</v>
      </c>
      <c r="C303" s="204" t="s">
        <v>301</v>
      </c>
      <c r="D303" s="1" t="s">
        <v>418</v>
      </c>
      <c r="E303" s="1">
        <f t="shared" ca="1" si="21"/>
        <v>66</v>
      </c>
      <c r="F303" s="1">
        <f t="shared" si="22"/>
        <v>63</v>
      </c>
      <c r="AV303" s="168">
        <v>44603</v>
      </c>
      <c r="AW303" s="1">
        <f t="shared" ca="1" si="20"/>
        <v>3</v>
      </c>
      <c r="AX303" s="1" t="s">
        <v>63</v>
      </c>
      <c r="BA303" s="184"/>
    </row>
    <row r="304" spans="1:107" hidden="1">
      <c r="A304" s="4">
        <v>303</v>
      </c>
      <c r="B304" s="171">
        <v>22447</v>
      </c>
      <c r="C304" s="1" t="s">
        <v>301</v>
      </c>
      <c r="D304" s="1" t="s">
        <v>418</v>
      </c>
      <c r="E304" s="1">
        <f t="shared" ca="1" si="21"/>
        <v>64</v>
      </c>
      <c r="F304" s="1">
        <f t="shared" si="22"/>
        <v>59</v>
      </c>
      <c r="AV304" s="168">
        <v>44020</v>
      </c>
      <c r="AW304" s="1">
        <f t="shared" ca="1" si="20"/>
        <v>5</v>
      </c>
      <c r="AX304" s="1" t="s">
        <v>63</v>
      </c>
      <c r="AY304" s="1">
        <v>0</v>
      </c>
      <c r="AZ304" s="1">
        <v>1</v>
      </c>
      <c r="BA304" s="184"/>
    </row>
    <row r="305" spans="1:53" hidden="1">
      <c r="A305" s="4">
        <v>304</v>
      </c>
      <c r="B305" s="171">
        <v>26337</v>
      </c>
      <c r="C305" s="204" t="s">
        <v>301</v>
      </c>
      <c r="D305" s="1" t="s">
        <v>418</v>
      </c>
      <c r="E305" s="1">
        <f t="shared" ca="1" si="21"/>
        <v>53</v>
      </c>
      <c r="F305" s="1">
        <f t="shared" si="22"/>
        <v>49</v>
      </c>
      <c r="AV305" s="168">
        <v>44431</v>
      </c>
      <c r="AW305" s="1">
        <f t="shared" ca="1" si="20"/>
        <v>3</v>
      </c>
      <c r="AX305" s="1" t="s">
        <v>63</v>
      </c>
      <c r="AY305" s="1">
        <v>0</v>
      </c>
      <c r="BA305" s="184"/>
    </row>
    <row r="306" spans="1:53" hidden="1">
      <c r="A306" s="4">
        <v>305</v>
      </c>
      <c r="B306" s="171">
        <v>38970</v>
      </c>
      <c r="C306" s="202" t="s">
        <v>302</v>
      </c>
      <c r="D306" s="1" t="s">
        <v>418</v>
      </c>
      <c r="E306" s="1">
        <f t="shared" ca="1" si="21"/>
        <v>18</v>
      </c>
      <c r="F306" s="1">
        <f t="shared" si="22"/>
        <v>16</v>
      </c>
      <c r="AV306" s="168">
        <v>44917</v>
      </c>
      <c r="AW306" s="1">
        <f t="shared" ca="1" si="20"/>
        <v>2</v>
      </c>
      <c r="AX306" s="1" t="s">
        <v>63</v>
      </c>
      <c r="BA306" s="184"/>
    </row>
    <row r="307" spans="1:53" hidden="1">
      <c r="A307" s="4">
        <v>306</v>
      </c>
      <c r="B307" s="171">
        <v>36161</v>
      </c>
      <c r="C307" s="202" t="s">
        <v>302</v>
      </c>
      <c r="D307" s="1" t="s">
        <v>418</v>
      </c>
      <c r="E307" s="1">
        <f t="shared" ca="1" si="21"/>
        <v>26</v>
      </c>
      <c r="F307" s="1">
        <f t="shared" si="22"/>
        <v>26</v>
      </c>
      <c r="AV307" s="168">
        <v>45680</v>
      </c>
      <c r="AW307" s="1">
        <f t="shared" ca="1" si="20"/>
        <v>0</v>
      </c>
      <c r="AX307" s="1" t="s">
        <v>63</v>
      </c>
      <c r="BA307" s="184"/>
    </row>
    <row r="308" spans="1:53" hidden="1">
      <c r="A308" s="4">
        <v>307</v>
      </c>
      <c r="B308" s="171">
        <v>38718</v>
      </c>
      <c r="C308" s="202" t="s">
        <v>302</v>
      </c>
      <c r="D308" s="202" t="s">
        <v>418</v>
      </c>
      <c r="E308" s="1">
        <f t="shared" ca="1" si="21"/>
        <v>19</v>
      </c>
      <c r="F308" s="1">
        <f t="shared" si="22"/>
        <v>17</v>
      </c>
      <c r="AV308" s="168">
        <v>44952</v>
      </c>
      <c r="AW308" s="1">
        <f t="shared" ca="1" si="20"/>
        <v>2</v>
      </c>
      <c r="AX308" s="1" t="s">
        <v>63</v>
      </c>
      <c r="BA308" s="184"/>
    </row>
    <row r="309" spans="1:53" hidden="1">
      <c r="A309" s="4">
        <v>308</v>
      </c>
      <c r="B309" s="171">
        <v>34700</v>
      </c>
      <c r="C309" s="202" t="s">
        <v>302</v>
      </c>
      <c r="D309" s="202" t="s">
        <v>418</v>
      </c>
      <c r="E309" s="1">
        <f t="shared" ca="1" si="21"/>
        <v>30</v>
      </c>
      <c r="F309" s="1">
        <f t="shared" si="22"/>
        <v>28</v>
      </c>
      <c r="AV309" s="168">
        <v>45266</v>
      </c>
      <c r="AW309" s="1">
        <f t="shared" ca="1" si="20"/>
        <v>1</v>
      </c>
      <c r="AX309" s="1" t="s">
        <v>63</v>
      </c>
      <c r="BA309" s="184"/>
    </row>
    <row r="310" spans="1:53" hidden="1">
      <c r="A310" s="4">
        <v>309</v>
      </c>
      <c r="B310" s="171">
        <v>28012</v>
      </c>
      <c r="C310" s="202" t="s">
        <v>302</v>
      </c>
      <c r="D310" s="202" t="s">
        <v>170</v>
      </c>
      <c r="E310" s="1">
        <f t="shared" ca="1" si="21"/>
        <v>48</v>
      </c>
      <c r="F310" s="1">
        <f t="shared" si="22"/>
        <v>46</v>
      </c>
      <c r="AV310" s="168">
        <v>44832</v>
      </c>
      <c r="AW310" s="1">
        <f t="shared" ca="1" si="20"/>
        <v>2</v>
      </c>
      <c r="AX310" s="1" t="s">
        <v>63</v>
      </c>
      <c r="BA310" s="184"/>
    </row>
    <row r="311" spans="1:53" hidden="1">
      <c r="A311" s="4">
        <v>310</v>
      </c>
      <c r="B311" s="171">
        <v>35503</v>
      </c>
      <c r="C311" s="202" t="s">
        <v>302</v>
      </c>
      <c r="D311" s="202" t="s">
        <v>418</v>
      </c>
      <c r="E311" s="1">
        <f t="shared" ca="1" si="21"/>
        <v>28</v>
      </c>
      <c r="F311" s="1">
        <f t="shared" si="22"/>
        <v>20</v>
      </c>
      <c r="AV311" s="168">
        <v>43129</v>
      </c>
      <c r="AW311" s="1">
        <f t="shared" ca="1" si="20"/>
        <v>7</v>
      </c>
      <c r="AX311" s="1" t="s">
        <v>63</v>
      </c>
      <c r="BA311" s="184"/>
    </row>
    <row r="312" spans="1:53" hidden="1">
      <c r="A312" s="4">
        <v>311</v>
      </c>
      <c r="B312" s="171">
        <v>34649</v>
      </c>
      <c r="C312" s="202" t="s">
        <v>302</v>
      </c>
      <c r="D312" s="202" t="s">
        <v>418</v>
      </c>
      <c r="E312" s="1">
        <f t="shared" ca="1" si="21"/>
        <v>30</v>
      </c>
      <c r="F312" s="1">
        <f t="shared" si="22"/>
        <v>27</v>
      </c>
      <c r="AV312" s="168">
        <v>44769</v>
      </c>
      <c r="AW312" s="1">
        <f t="shared" ca="1" si="20"/>
        <v>2</v>
      </c>
      <c r="AX312" s="1" t="s">
        <v>63</v>
      </c>
      <c r="BA312" s="184"/>
    </row>
    <row r="313" spans="1:53" hidden="1">
      <c r="A313" s="4">
        <v>312</v>
      </c>
      <c r="B313" s="171">
        <v>31477</v>
      </c>
      <c r="C313" s="202" t="s">
        <v>159</v>
      </c>
      <c r="D313" s="202" t="s">
        <v>170</v>
      </c>
      <c r="E313" s="1">
        <f t="shared" ca="1" si="21"/>
        <v>39</v>
      </c>
      <c r="F313" s="1">
        <f t="shared" si="22"/>
        <v>37</v>
      </c>
      <c r="AV313" s="205">
        <v>45261</v>
      </c>
      <c r="AW313" s="1">
        <f t="shared" ca="1" si="20"/>
        <v>1</v>
      </c>
      <c r="AX313" s="1" t="s">
        <v>63</v>
      </c>
      <c r="AY313" s="1">
        <v>0</v>
      </c>
      <c r="AZ313" s="1">
        <v>1</v>
      </c>
      <c r="BA313" s="184"/>
    </row>
    <row r="314" spans="1:53" hidden="1">
      <c r="A314" s="4">
        <v>313</v>
      </c>
      <c r="B314" s="171">
        <v>33390</v>
      </c>
      <c r="C314" s="202" t="s">
        <v>159</v>
      </c>
      <c r="D314" s="202" t="s">
        <v>170</v>
      </c>
      <c r="E314" s="1">
        <f t="shared" ca="1" si="21"/>
        <v>34</v>
      </c>
      <c r="F314" s="1">
        <f t="shared" si="22"/>
        <v>29</v>
      </c>
      <c r="AV314" s="205">
        <v>44319</v>
      </c>
      <c r="AW314" s="1">
        <f t="shared" ca="1" si="20"/>
        <v>4</v>
      </c>
      <c r="AX314" s="1" t="s">
        <v>63</v>
      </c>
      <c r="BA314" s="184"/>
    </row>
    <row r="315" spans="1:53" hidden="1">
      <c r="A315" s="4">
        <v>314</v>
      </c>
      <c r="B315" s="171">
        <v>37747</v>
      </c>
      <c r="C315" s="202" t="s">
        <v>159</v>
      </c>
      <c r="D315" s="202" t="s">
        <v>170</v>
      </c>
      <c r="E315" s="1">
        <f t="shared" ca="1" si="21"/>
        <v>22</v>
      </c>
      <c r="F315" s="1">
        <f t="shared" si="22"/>
        <v>19</v>
      </c>
      <c r="AV315" s="205">
        <v>44837</v>
      </c>
      <c r="AW315" s="1">
        <f t="shared" ca="1" si="20"/>
        <v>2</v>
      </c>
      <c r="AX315" s="1" t="s">
        <v>63</v>
      </c>
      <c r="BA315" s="184"/>
    </row>
    <row r="316" spans="1:53" hidden="1">
      <c r="A316" s="4">
        <v>315</v>
      </c>
      <c r="B316" s="171">
        <v>33405</v>
      </c>
      <c r="C316" s="202" t="s">
        <v>159</v>
      </c>
      <c r="D316" s="202" t="s">
        <v>418</v>
      </c>
      <c r="E316" s="1">
        <f t="shared" ref="E316:E347" ca="1" si="23">DATEDIF(B316,TODAY(),"Y")</f>
        <v>34</v>
      </c>
      <c r="F316" s="1">
        <f t="shared" si="22"/>
        <v>31</v>
      </c>
      <c r="AV316" s="205">
        <v>44922</v>
      </c>
      <c r="AW316" s="1">
        <f t="shared" ca="1" si="20"/>
        <v>2</v>
      </c>
      <c r="AX316" s="1" t="s">
        <v>63</v>
      </c>
      <c r="BA316" s="184"/>
    </row>
    <row r="317" spans="1:53" hidden="1">
      <c r="A317" s="4">
        <v>316</v>
      </c>
      <c r="B317" s="171">
        <v>21295</v>
      </c>
      <c r="C317" s="202" t="s">
        <v>159</v>
      </c>
      <c r="D317" s="202" t="s">
        <v>418</v>
      </c>
      <c r="E317" s="1">
        <f t="shared" ca="1" si="23"/>
        <v>67</v>
      </c>
      <c r="F317" s="1">
        <f t="shared" si="22"/>
        <v>62</v>
      </c>
      <c r="AV317" s="205">
        <v>44126</v>
      </c>
      <c r="AW317" s="1">
        <f t="shared" ca="1" si="20"/>
        <v>4</v>
      </c>
      <c r="AX317" s="1" t="s">
        <v>63</v>
      </c>
      <c r="BA317" s="184"/>
    </row>
    <row r="318" spans="1:53" hidden="1">
      <c r="A318" s="4">
        <v>317</v>
      </c>
      <c r="B318" s="171">
        <v>38862</v>
      </c>
      <c r="C318" s="202" t="s">
        <v>303</v>
      </c>
      <c r="D318" s="202" t="s">
        <v>418</v>
      </c>
      <c r="E318" s="1">
        <f t="shared" ca="1" si="23"/>
        <v>19</v>
      </c>
      <c r="F318" s="1">
        <f>DATEDIF(B318,AV319,"Y")</f>
        <v>18</v>
      </c>
      <c r="AV318" s="168">
        <v>45246</v>
      </c>
      <c r="AW318" s="1">
        <f t="shared" ca="1" si="20"/>
        <v>1</v>
      </c>
      <c r="AX318" s="1" t="s">
        <v>63</v>
      </c>
      <c r="AY318" s="1">
        <v>0</v>
      </c>
      <c r="AZ318" s="1">
        <v>1</v>
      </c>
      <c r="BA318" s="184"/>
    </row>
    <row r="319" spans="1:53" hidden="1">
      <c r="A319" s="4">
        <v>318</v>
      </c>
      <c r="B319" s="171">
        <v>32874</v>
      </c>
      <c r="C319" s="202" t="s">
        <v>303</v>
      </c>
      <c r="D319" s="202" t="s">
        <v>418</v>
      </c>
      <c r="E319" s="1">
        <f t="shared" ca="1" si="23"/>
        <v>35</v>
      </c>
      <c r="F319" s="1">
        <f>DATEDIF(B319,AV320,"Y")</f>
        <v>33</v>
      </c>
      <c r="AV319" s="168">
        <v>45478</v>
      </c>
      <c r="AW319" s="1">
        <f t="shared" ca="1" si="20"/>
        <v>1</v>
      </c>
      <c r="AX319" s="1" t="s">
        <v>63</v>
      </c>
      <c r="AY319" s="1">
        <v>0</v>
      </c>
      <c r="AZ319" s="1">
        <v>1</v>
      </c>
      <c r="BA319" s="184"/>
    </row>
    <row r="320" spans="1:53" hidden="1">
      <c r="A320" s="4">
        <v>319</v>
      </c>
      <c r="B320" s="171">
        <v>24994</v>
      </c>
      <c r="C320" s="202" t="s">
        <v>303</v>
      </c>
      <c r="D320" s="202" t="s">
        <v>170</v>
      </c>
      <c r="E320" s="1">
        <f t="shared" ca="1" si="23"/>
        <v>57</v>
      </c>
      <c r="F320" s="1">
        <f>DATEDIF(B320,AV321,"Y")</f>
        <v>52</v>
      </c>
      <c r="AV320" s="168">
        <v>45234</v>
      </c>
      <c r="AW320" s="1">
        <f t="shared" ca="1" si="20"/>
        <v>1</v>
      </c>
      <c r="AX320" s="1" t="s">
        <v>63</v>
      </c>
      <c r="AY320" s="1">
        <v>0</v>
      </c>
      <c r="BA320" s="184"/>
    </row>
    <row r="321" spans="1:53" hidden="1">
      <c r="A321" s="4">
        <v>320</v>
      </c>
      <c r="B321" s="171">
        <v>27023</v>
      </c>
      <c r="C321" s="202" t="s">
        <v>340</v>
      </c>
      <c r="D321" s="202" t="s">
        <v>418</v>
      </c>
      <c r="E321" s="1">
        <f t="shared" ca="1" si="23"/>
        <v>51</v>
      </c>
      <c r="F321" s="1">
        <f>DATEDIF(B321,AV322,"Y")</f>
        <v>49</v>
      </c>
      <c r="AV321" s="168">
        <v>44323</v>
      </c>
      <c r="AW321" s="1">
        <f t="shared" ca="1" si="20"/>
        <v>4</v>
      </c>
      <c r="AX321" s="1" t="s">
        <v>63</v>
      </c>
      <c r="BA321" s="184"/>
    </row>
    <row r="322" spans="1:53" hidden="1">
      <c r="A322" s="4">
        <v>321</v>
      </c>
      <c r="B322" s="171">
        <v>30511</v>
      </c>
      <c r="C322" s="202" t="s">
        <v>340</v>
      </c>
      <c r="D322" s="202" t="s">
        <v>170</v>
      </c>
      <c r="E322" s="1">
        <f t="shared" ca="1" si="23"/>
        <v>42</v>
      </c>
      <c r="F322" s="1">
        <f t="shared" ref="F322:F369" si="24">DATEDIF(B322,AV322,"Y")</f>
        <v>39</v>
      </c>
      <c r="AV322" s="168">
        <v>44970</v>
      </c>
      <c r="AW322" s="1">
        <f t="shared" ca="1" si="20"/>
        <v>2</v>
      </c>
      <c r="AX322" s="1" t="s">
        <v>63</v>
      </c>
      <c r="AY322" s="1">
        <v>5.67</v>
      </c>
      <c r="BA322" s="184"/>
    </row>
    <row r="323" spans="1:53" hidden="1">
      <c r="A323" s="4">
        <v>322</v>
      </c>
      <c r="B323" s="171">
        <v>30084</v>
      </c>
      <c r="C323" s="202" t="s">
        <v>304</v>
      </c>
      <c r="D323" s="202" t="s">
        <v>418</v>
      </c>
      <c r="E323" s="1">
        <f t="shared" ca="1" si="23"/>
        <v>43</v>
      </c>
      <c r="F323" s="1">
        <f t="shared" si="24"/>
        <v>39</v>
      </c>
      <c r="AV323" s="168">
        <v>44687</v>
      </c>
      <c r="AW323" s="1">
        <f t="shared" ref="AW323:AW369" ca="1" si="25">DATEDIF(AV323,TODAY(),"Y")</f>
        <v>3</v>
      </c>
      <c r="AX323" s="1" t="s">
        <v>63</v>
      </c>
      <c r="BA323" s="184"/>
    </row>
    <row r="324" spans="1:53" hidden="1">
      <c r="A324" s="4">
        <v>323</v>
      </c>
      <c r="B324" s="171">
        <v>32671</v>
      </c>
      <c r="C324" s="202" t="s">
        <v>304</v>
      </c>
      <c r="D324" s="202" t="s">
        <v>418</v>
      </c>
      <c r="E324" s="1">
        <f t="shared" ca="1" si="23"/>
        <v>36</v>
      </c>
      <c r="F324" s="1">
        <f t="shared" si="24"/>
        <v>35</v>
      </c>
      <c r="AV324" s="168">
        <v>45609</v>
      </c>
      <c r="AW324" s="1">
        <f t="shared" ca="1" si="25"/>
        <v>0</v>
      </c>
      <c r="AX324" s="1" t="s">
        <v>63</v>
      </c>
      <c r="BA324" s="184"/>
    </row>
    <row r="325" spans="1:53" hidden="1">
      <c r="A325" s="4">
        <v>324</v>
      </c>
      <c r="B325" s="171">
        <v>27622</v>
      </c>
      <c r="C325" s="202" t="s">
        <v>305</v>
      </c>
      <c r="D325" s="202" t="s">
        <v>170</v>
      </c>
      <c r="E325" s="1">
        <f t="shared" ca="1" si="23"/>
        <v>49</v>
      </c>
      <c r="F325" s="1">
        <f t="shared" si="24"/>
        <v>45</v>
      </c>
      <c r="AV325" s="168">
        <v>44392</v>
      </c>
      <c r="AW325" s="1">
        <f t="shared" ca="1" si="25"/>
        <v>4</v>
      </c>
      <c r="AX325" s="1" t="s">
        <v>63</v>
      </c>
      <c r="AY325" s="1">
        <v>0</v>
      </c>
      <c r="BA325" s="184"/>
    </row>
    <row r="326" spans="1:53" hidden="1">
      <c r="A326" s="4">
        <v>325</v>
      </c>
      <c r="B326" s="171">
        <v>17077</v>
      </c>
      <c r="C326" s="202" t="s">
        <v>305</v>
      </c>
      <c r="D326" s="202" t="s">
        <v>418</v>
      </c>
      <c r="E326" s="1">
        <f t="shared" ca="1" si="23"/>
        <v>78</v>
      </c>
      <c r="F326" s="1">
        <f t="shared" si="24"/>
        <v>77</v>
      </c>
      <c r="AV326" s="168">
        <v>45401</v>
      </c>
      <c r="AW326" s="1">
        <f t="shared" ca="1" si="25"/>
        <v>1</v>
      </c>
      <c r="AX326" s="1" t="s">
        <v>63</v>
      </c>
      <c r="BA326" s="184"/>
    </row>
    <row r="327" spans="1:53" hidden="1">
      <c r="A327" s="4">
        <v>326</v>
      </c>
      <c r="B327" s="171">
        <v>33605</v>
      </c>
      <c r="C327" s="202" t="s">
        <v>305</v>
      </c>
      <c r="D327" s="202" t="s">
        <v>170</v>
      </c>
      <c r="E327" s="1">
        <f t="shared" ca="1" si="23"/>
        <v>33</v>
      </c>
      <c r="F327" s="1">
        <f t="shared" si="24"/>
        <v>30</v>
      </c>
      <c r="AV327" s="168">
        <v>44775</v>
      </c>
      <c r="AW327" s="1">
        <f t="shared" ca="1" si="25"/>
        <v>2</v>
      </c>
      <c r="AX327" s="1" t="s">
        <v>63</v>
      </c>
      <c r="AY327" s="1">
        <v>0</v>
      </c>
      <c r="BA327" s="184"/>
    </row>
    <row r="328" spans="1:53" hidden="1">
      <c r="A328" s="4">
        <v>327</v>
      </c>
      <c r="B328" s="171">
        <v>30112</v>
      </c>
      <c r="C328" s="202" t="s">
        <v>305</v>
      </c>
      <c r="D328" s="202" t="s">
        <v>170</v>
      </c>
      <c r="E328" s="1">
        <f t="shared" ca="1" si="23"/>
        <v>43</v>
      </c>
      <c r="F328" s="1">
        <f t="shared" si="24"/>
        <v>40</v>
      </c>
      <c r="AV328" s="168">
        <v>44813</v>
      </c>
      <c r="AW328" s="1">
        <f t="shared" ca="1" si="25"/>
        <v>2</v>
      </c>
      <c r="AX328" s="1" t="s">
        <v>63</v>
      </c>
      <c r="BA328" s="184"/>
    </row>
    <row r="329" spans="1:53" hidden="1">
      <c r="A329" s="4">
        <v>328</v>
      </c>
      <c r="B329" s="171">
        <v>34335</v>
      </c>
      <c r="C329" s="1" t="s">
        <v>306</v>
      </c>
      <c r="D329" s="1" t="s">
        <v>418</v>
      </c>
      <c r="E329" s="1">
        <f t="shared" ca="1" si="23"/>
        <v>31</v>
      </c>
      <c r="F329" s="1">
        <f t="shared" si="24"/>
        <v>28</v>
      </c>
      <c r="AV329" s="206">
        <v>44726</v>
      </c>
      <c r="AW329" s="1">
        <f t="shared" ca="1" si="25"/>
        <v>3</v>
      </c>
      <c r="AX329" s="1" t="s">
        <v>63</v>
      </c>
      <c r="BA329" s="184"/>
    </row>
    <row r="330" spans="1:53" hidden="1">
      <c r="A330" s="4">
        <v>329</v>
      </c>
      <c r="B330" s="171">
        <v>32991</v>
      </c>
      <c r="C330" s="1" t="s">
        <v>306</v>
      </c>
      <c r="D330" s="1" t="s">
        <v>418</v>
      </c>
      <c r="E330" s="1">
        <f t="shared" ca="1" si="23"/>
        <v>35</v>
      </c>
      <c r="F330" s="1">
        <f t="shared" si="24"/>
        <v>30</v>
      </c>
      <c r="AV330" s="206">
        <v>44145</v>
      </c>
      <c r="AW330" s="1">
        <f t="shared" ca="1" si="25"/>
        <v>4</v>
      </c>
      <c r="AX330" s="1" t="s">
        <v>63</v>
      </c>
      <c r="BA330" s="184"/>
    </row>
    <row r="331" spans="1:53" hidden="1">
      <c r="A331" s="4">
        <v>330</v>
      </c>
      <c r="B331" s="171">
        <v>37196</v>
      </c>
      <c r="C331" s="1" t="s">
        <v>306</v>
      </c>
      <c r="D331" s="1" t="s">
        <v>418</v>
      </c>
      <c r="E331" s="1">
        <f t="shared" ca="1" si="23"/>
        <v>23</v>
      </c>
      <c r="F331" s="1">
        <f t="shared" si="24"/>
        <v>19</v>
      </c>
      <c r="AV331" s="206">
        <v>44194</v>
      </c>
      <c r="AW331" s="1">
        <f t="shared" ca="1" si="25"/>
        <v>4</v>
      </c>
      <c r="AX331" s="1" t="s">
        <v>63</v>
      </c>
      <c r="BA331" s="184"/>
    </row>
    <row r="332" spans="1:53" hidden="1">
      <c r="A332" s="4">
        <v>331</v>
      </c>
      <c r="B332" s="171">
        <v>26453</v>
      </c>
      <c r="C332" s="202" t="s">
        <v>307</v>
      </c>
      <c r="D332" s="202" t="s">
        <v>170</v>
      </c>
      <c r="E332" s="1">
        <f t="shared" ca="1" si="23"/>
        <v>53</v>
      </c>
      <c r="F332" s="1">
        <f t="shared" si="24"/>
        <v>50</v>
      </c>
      <c r="AV332" s="168">
        <v>44834</v>
      </c>
      <c r="AW332" s="1">
        <f t="shared" ca="1" si="25"/>
        <v>2</v>
      </c>
      <c r="AX332" s="1" t="s">
        <v>63</v>
      </c>
      <c r="AY332" s="1">
        <v>4.8099999999999996</v>
      </c>
      <c r="BA332" s="184"/>
    </row>
    <row r="333" spans="1:53" hidden="1">
      <c r="A333" s="4">
        <v>332</v>
      </c>
      <c r="B333" s="171">
        <v>24420</v>
      </c>
      <c r="C333" s="202" t="s">
        <v>307</v>
      </c>
      <c r="D333" s="202" t="s">
        <v>170</v>
      </c>
      <c r="E333" s="1">
        <f t="shared" ca="1" si="23"/>
        <v>58</v>
      </c>
      <c r="F333" s="1">
        <f t="shared" si="24"/>
        <v>52</v>
      </c>
      <c r="AV333" s="168">
        <v>43554</v>
      </c>
      <c r="AW333" s="1">
        <f t="shared" ca="1" si="25"/>
        <v>6</v>
      </c>
      <c r="AX333" s="1" t="s">
        <v>63</v>
      </c>
      <c r="AY333" s="1">
        <v>2.25</v>
      </c>
      <c r="BA333" s="184"/>
    </row>
    <row r="334" spans="1:53" hidden="1">
      <c r="A334" s="4">
        <v>333</v>
      </c>
      <c r="B334" s="171">
        <v>21916</v>
      </c>
      <c r="C334" s="202" t="s">
        <v>307</v>
      </c>
      <c r="D334" s="202" t="s">
        <v>170</v>
      </c>
      <c r="E334" s="1">
        <f t="shared" ca="1" si="23"/>
        <v>65</v>
      </c>
      <c r="F334" s="1">
        <f t="shared" si="24"/>
        <v>61</v>
      </c>
      <c r="AV334" s="168">
        <v>44476</v>
      </c>
      <c r="AW334" s="1">
        <f t="shared" ca="1" si="25"/>
        <v>3</v>
      </c>
      <c r="AX334" s="1" t="s">
        <v>63</v>
      </c>
      <c r="BA334" s="184"/>
    </row>
    <row r="335" spans="1:53" hidden="1">
      <c r="A335" s="4">
        <v>334</v>
      </c>
      <c r="B335" s="171">
        <v>29522</v>
      </c>
      <c r="C335" s="202" t="s">
        <v>307</v>
      </c>
      <c r="D335" s="202" t="s">
        <v>170</v>
      </c>
      <c r="E335" s="1">
        <f t="shared" ca="1" si="23"/>
        <v>44</v>
      </c>
      <c r="F335" s="1">
        <f t="shared" si="24"/>
        <v>42</v>
      </c>
      <c r="AV335" s="168">
        <v>45170</v>
      </c>
      <c r="AW335" s="1">
        <f t="shared" ca="1" si="25"/>
        <v>1</v>
      </c>
      <c r="AX335" s="1" t="s">
        <v>63</v>
      </c>
      <c r="AY335" s="1">
        <v>0</v>
      </c>
      <c r="AZ335" s="1">
        <v>1</v>
      </c>
      <c r="BA335" s="184"/>
    </row>
    <row r="336" spans="1:53" hidden="1">
      <c r="A336" s="4">
        <v>335</v>
      </c>
      <c r="B336" s="171">
        <v>35065</v>
      </c>
      <c r="C336" s="202" t="s">
        <v>307</v>
      </c>
      <c r="D336" s="202" t="s">
        <v>170</v>
      </c>
      <c r="E336" s="1">
        <f t="shared" ca="1" si="23"/>
        <v>29</v>
      </c>
      <c r="F336" s="1">
        <f t="shared" si="24"/>
        <v>28</v>
      </c>
      <c r="AV336" s="168">
        <v>45446</v>
      </c>
      <c r="AW336" s="1">
        <f t="shared" ca="1" si="25"/>
        <v>1</v>
      </c>
      <c r="AX336" s="1" t="s">
        <v>63</v>
      </c>
      <c r="AY336" s="1">
        <v>0</v>
      </c>
      <c r="AZ336" s="1">
        <v>1</v>
      </c>
      <c r="BA336" s="184"/>
    </row>
    <row r="337" spans="1:87" hidden="1">
      <c r="A337" s="4">
        <v>336</v>
      </c>
      <c r="B337" s="171">
        <v>28798</v>
      </c>
      <c r="C337" s="202" t="s">
        <v>307</v>
      </c>
      <c r="D337" s="202" t="s">
        <v>418</v>
      </c>
      <c r="E337" s="1">
        <f t="shared" ca="1" si="23"/>
        <v>46</v>
      </c>
      <c r="F337" s="1">
        <f t="shared" si="24"/>
        <v>45</v>
      </c>
      <c r="AV337" s="168">
        <v>45481</v>
      </c>
      <c r="AW337" s="1">
        <f t="shared" ca="1" si="25"/>
        <v>1</v>
      </c>
      <c r="AX337" s="1" t="s">
        <v>63</v>
      </c>
      <c r="AY337" s="1">
        <v>3.35</v>
      </c>
      <c r="BA337" s="184"/>
    </row>
    <row r="338" spans="1:87" hidden="1">
      <c r="A338" s="4">
        <v>337</v>
      </c>
      <c r="B338" s="171">
        <v>38241</v>
      </c>
      <c r="C338" s="202" t="s">
        <v>307</v>
      </c>
      <c r="D338" s="202" t="s">
        <v>418</v>
      </c>
      <c r="E338" s="1">
        <f t="shared" ca="1" si="23"/>
        <v>20</v>
      </c>
      <c r="F338" s="1">
        <f t="shared" si="24"/>
        <v>16</v>
      </c>
      <c r="AV338" s="168">
        <v>44449</v>
      </c>
      <c r="AW338" s="1">
        <f t="shared" ca="1" si="25"/>
        <v>3</v>
      </c>
      <c r="AX338" s="1" t="s">
        <v>63</v>
      </c>
      <c r="BA338" s="184"/>
    </row>
    <row r="339" spans="1:87" hidden="1">
      <c r="A339" s="4">
        <v>338</v>
      </c>
      <c r="B339" s="171">
        <v>33592</v>
      </c>
      <c r="C339" s="202" t="s">
        <v>308</v>
      </c>
      <c r="D339" s="202" t="s">
        <v>418</v>
      </c>
      <c r="E339" s="1">
        <f t="shared" ca="1" si="23"/>
        <v>33</v>
      </c>
      <c r="F339" s="1">
        <f t="shared" si="24"/>
        <v>27</v>
      </c>
      <c r="AV339" s="168">
        <v>43578</v>
      </c>
      <c r="AW339" s="1">
        <f t="shared" ca="1" si="25"/>
        <v>6</v>
      </c>
      <c r="AX339" s="1" t="s">
        <v>63</v>
      </c>
      <c r="AY339" s="1">
        <v>0</v>
      </c>
      <c r="BA339" s="184"/>
    </row>
    <row r="340" spans="1:87" hidden="1">
      <c r="A340" s="4">
        <v>339</v>
      </c>
      <c r="B340" s="171">
        <v>23882</v>
      </c>
      <c r="C340" s="202" t="s">
        <v>308</v>
      </c>
      <c r="D340" s="202" t="s">
        <v>418</v>
      </c>
      <c r="E340" s="1">
        <f t="shared" ca="1" si="23"/>
        <v>60</v>
      </c>
      <c r="F340" s="1">
        <f t="shared" si="24"/>
        <v>55</v>
      </c>
      <c r="AV340" s="168">
        <v>44130</v>
      </c>
      <c r="AW340" s="1">
        <f t="shared" ca="1" si="25"/>
        <v>4</v>
      </c>
      <c r="AX340" s="1" t="s">
        <v>63</v>
      </c>
      <c r="AY340" s="1">
        <v>0</v>
      </c>
      <c r="AZ340" s="1">
        <v>1</v>
      </c>
      <c r="BA340" s="184"/>
    </row>
    <row r="341" spans="1:87" hidden="1">
      <c r="A341" s="4">
        <v>340</v>
      </c>
      <c r="B341" s="171">
        <v>33239</v>
      </c>
      <c r="C341" s="1" t="s">
        <v>309</v>
      </c>
      <c r="D341" s="1" t="s">
        <v>418</v>
      </c>
      <c r="E341" s="1">
        <f t="shared" ca="1" si="23"/>
        <v>34</v>
      </c>
      <c r="F341" s="1">
        <f t="shared" si="24"/>
        <v>27</v>
      </c>
      <c r="G341" s="1" t="s">
        <v>6</v>
      </c>
      <c r="H341" s="1" t="s">
        <v>12</v>
      </c>
      <c r="I341" s="1" t="s">
        <v>12</v>
      </c>
      <c r="J341" s="1">
        <v>182</v>
      </c>
      <c r="K341" s="1">
        <v>60</v>
      </c>
      <c r="M341" s="1">
        <v>0</v>
      </c>
      <c r="N341" s="1">
        <v>0</v>
      </c>
      <c r="O341" s="1">
        <v>0</v>
      </c>
      <c r="P341" s="1">
        <v>26</v>
      </c>
      <c r="Q341" s="1">
        <v>11</v>
      </c>
      <c r="R341" s="1">
        <v>19</v>
      </c>
      <c r="S341" s="1">
        <v>5</v>
      </c>
      <c r="T341" s="1">
        <v>95</v>
      </c>
      <c r="U341" s="1">
        <v>316</v>
      </c>
      <c r="V341" s="1">
        <v>40</v>
      </c>
      <c r="W341" s="1">
        <v>5945</v>
      </c>
      <c r="X341" s="1">
        <v>0</v>
      </c>
      <c r="Y341" s="1">
        <v>11482</v>
      </c>
      <c r="Z341" s="1">
        <v>0</v>
      </c>
      <c r="AA341" s="1">
        <v>0</v>
      </c>
      <c r="AC341" s="1" t="s">
        <v>91</v>
      </c>
      <c r="AH341" s="1" t="s">
        <v>91</v>
      </c>
      <c r="AL341" s="1" t="s">
        <v>437</v>
      </c>
      <c r="AV341" s="168">
        <v>43189</v>
      </c>
      <c r="AW341" s="1">
        <f t="shared" ca="1" si="25"/>
        <v>7</v>
      </c>
      <c r="AX341" s="1" t="s">
        <v>445</v>
      </c>
      <c r="AY341" s="1">
        <v>0</v>
      </c>
      <c r="BA341" s="184" t="s">
        <v>34</v>
      </c>
      <c r="BB341" s="1" t="s">
        <v>34</v>
      </c>
    </row>
    <row r="342" spans="1:87" hidden="1">
      <c r="A342" s="4">
        <v>341</v>
      </c>
      <c r="B342" s="171">
        <v>32056</v>
      </c>
      <c r="C342" s="1" t="s">
        <v>309</v>
      </c>
      <c r="D342" s="1" t="s">
        <v>170</v>
      </c>
      <c r="E342" s="1">
        <f t="shared" ca="1" si="23"/>
        <v>37</v>
      </c>
      <c r="F342" s="1">
        <f t="shared" si="24"/>
        <v>34</v>
      </c>
      <c r="G342" s="1" t="s">
        <v>8</v>
      </c>
      <c r="H342" s="1" t="s">
        <v>14</v>
      </c>
      <c r="I342" s="1" t="s">
        <v>12</v>
      </c>
      <c r="J342" s="1">
        <v>162</v>
      </c>
      <c r="K342" s="1">
        <v>77</v>
      </c>
      <c r="M342" s="1">
        <v>0</v>
      </c>
      <c r="N342" s="1">
        <v>0</v>
      </c>
      <c r="O342" s="1">
        <v>0</v>
      </c>
      <c r="P342" s="1">
        <v>22</v>
      </c>
      <c r="Q342" s="1">
        <v>15</v>
      </c>
      <c r="R342" s="1">
        <v>25</v>
      </c>
      <c r="S342" s="1">
        <v>10</v>
      </c>
      <c r="T342" s="1">
        <v>8</v>
      </c>
      <c r="U342" s="1">
        <v>154</v>
      </c>
      <c r="V342" s="1">
        <v>38</v>
      </c>
      <c r="W342" s="1" t="s">
        <v>358</v>
      </c>
      <c r="X342" s="1">
        <v>0</v>
      </c>
      <c r="Y342" s="1">
        <v>1173</v>
      </c>
      <c r="Z342" s="1">
        <v>0</v>
      </c>
      <c r="AA342" s="1">
        <v>0</v>
      </c>
      <c r="AC342" s="1" t="s">
        <v>91</v>
      </c>
      <c r="AH342" s="1" t="s">
        <v>110</v>
      </c>
      <c r="AL342" s="1" t="s">
        <v>437</v>
      </c>
      <c r="AV342" s="168">
        <v>44560</v>
      </c>
      <c r="AW342" s="1">
        <f t="shared" ca="1" si="25"/>
        <v>3</v>
      </c>
      <c r="AX342" s="1" t="s">
        <v>445</v>
      </c>
      <c r="AY342" s="1">
        <v>0</v>
      </c>
      <c r="BA342" s="184" t="s">
        <v>356</v>
      </c>
      <c r="BB342" s="1" t="s">
        <v>34</v>
      </c>
    </row>
    <row r="343" spans="1:87" hidden="1">
      <c r="A343" s="4">
        <v>342</v>
      </c>
      <c r="B343" s="171">
        <v>31499</v>
      </c>
      <c r="C343" s="1" t="s">
        <v>309</v>
      </c>
      <c r="D343" s="1" t="s">
        <v>418</v>
      </c>
      <c r="E343" s="1">
        <f t="shared" ca="1" si="23"/>
        <v>39</v>
      </c>
      <c r="F343" s="1">
        <f t="shared" si="24"/>
        <v>31</v>
      </c>
      <c r="G343" s="1" t="s">
        <v>419</v>
      </c>
      <c r="H343" s="1" t="s">
        <v>12</v>
      </c>
      <c r="I343" s="1" t="s">
        <v>12</v>
      </c>
      <c r="J343" s="1">
        <v>178</v>
      </c>
      <c r="K343" s="1">
        <v>57</v>
      </c>
      <c r="M343" s="1">
        <v>1</v>
      </c>
      <c r="N343" s="1">
        <v>0</v>
      </c>
      <c r="O343" s="1">
        <v>0</v>
      </c>
      <c r="P343" s="1">
        <v>135</v>
      </c>
      <c r="Q343" s="1">
        <v>227</v>
      </c>
      <c r="R343" s="1">
        <v>40</v>
      </c>
      <c r="S343" s="1">
        <v>5</v>
      </c>
      <c r="T343" s="1">
        <v>80</v>
      </c>
      <c r="U343" s="1">
        <v>247</v>
      </c>
      <c r="V343" s="1">
        <v>42</v>
      </c>
      <c r="W343" s="1" t="s">
        <v>358</v>
      </c>
      <c r="X343" s="1">
        <v>0</v>
      </c>
      <c r="Y343" s="1">
        <v>71</v>
      </c>
      <c r="Z343" s="1">
        <v>1</v>
      </c>
      <c r="AA343" s="1">
        <v>0</v>
      </c>
      <c r="AV343" s="168">
        <v>43102</v>
      </c>
      <c r="AW343" s="1">
        <f t="shared" ca="1" si="25"/>
        <v>7</v>
      </c>
      <c r="AX343" s="1" t="s">
        <v>445</v>
      </c>
      <c r="AY343" s="207" t="s">
        <v>362</v>
      </c>
      <c r="BA343" s="184" t="s">
        <v>34</v>
      </c>
      <c r="BB343" s="1" t="s">
        <v>34</v>
      </c>
      <c r="CG343" s="1">
        <v>1</v>
      </c>
    </row>
    <row r="344" spans="1:87" hidden="1">
      <c r="A344" s="4">
        <v>343</v>
      </c>
      <c r="B344" s="171">
        <v>30541</v>
      </c>
      <c r="C344" s="1" t="s">
        <v>309</v>
      </c>
      <c r="D344" s="1" t="s">
        <v>418</v>
      </c>
      <c r="E344" s="1">
        <f t="shared" ca="1" si="23"/>
        <v>41</v>
      </c>
      <c r="F344" s="1">
        <f t="shared" si="24"/>
        <v>39</v>
      </c>
      <c r="G344" s="1" t="s">
        <v>419</v>
      </c>
      <c r="H344" s="1" t="s">
        <v>12</v>
      </c>
      <c r="I344" s="1" t="s">
        <v>14</v>
      </c>
      <c r="J344" s="1">
        <v>173</v>
      </c>
      <c r="K344" s="1">
        <v>66</v>
      </c>
      <c r="M344" s="1">
        <v>0</v>
      </c>
      <c r="N344" s="1">
        <v>0</v>
      </c>
      <c r="O344" s="1">
        <v>0</v>
      </c>
      <c r="P344" s="1">
        <v>86</v>
      </c>
      <c r="Q344" s="1">
        <v>56</v>
      </c>
      <c r="R344" s="1">
        <v>19</v>
      </c>
      <c r="S344" s="1">
        <v>81</v>
      </c>
      <c r="T344" s="1">
        <v>52</v>
      </c>
      <c r="U344" s="1">
        <v>31</v>
      </c>
      <c r="V344" s="1">
        <v>23</v>
      </c>
      <c r="W344" s="1" t="s">
        <v>359</v>
      </c>
      <c r="X344" s="1">
        <v>0</v>
      </c>
      <c r="Y344" s="1">
        <v>0</v>
      </c>
      <c r="Z344" s="1">
        <v>1</v>
      </c>
      <c r="AA344" s="1">
        <v>0</v>
      </c>
      <c r="AB344" s="1" t="s">
        <v>83</v>
      </c>
      <c r="AH344" s="1" t="s">
        <v>83</v>
      </c>
      <c r="AL344" s="1" t="s">
        <v>438</v>
      </c>
      <c r="AM344" s="1" t="s">
        <v>186</v>
      </c>
      <c r="AN344" s="1" t="s">
        <v>439</v>
      </c>
      <c r="AO344" s="1" t="s">
        <v>439</v>
      </c>
      <c r="AP344" s="1" t="s">
        <v>439</v>
      </c>
      <c r="AT344" s="1" t="s">
        <v>440</v>
      </c>
      <c r="AV344" s="168">
        <v>44966</v>
      </c>
      <c r="AW344" s="1">
        <f t="shared" ca="1" si="25"/>
        <v>2</v>
      </c>
      <c r="AX344" s="1" t="s">
        <v>444</v>
      </c>
      <c r="AY344" s="1">
        <v>0</v>
      </c>
      <c r="BA344" s="184" t="s">
        <v>34</v>
      </c>
      <c r="BB344" s="1" t="s">
        <v>34</v>
      </c>
    </row>
    <row r="345" spans="1:87" hidden="1">
      <c r="A345" s="4">
        <v>344</v>
      </c>
      <c r="B345" s="171">
        <v>26583</v>
      </c>
      <c r="C345" s="1" t="s">
        <v>309</v>
      </c>
      <c r="D345" s="1" t="s">
        <v>418</v>
      </c>
      <c r="E345" s="1">
        <f t="shared" ca="1" si="23"/>
        <v>52</v>
      </c>
      <c r="F345" s="1">
        <f t="shared" si="24"/>
        <v>49</v>
      </c>
      <c r="G345" s="1" t="s">
        <v>419</v>
      </c>
      <c r="H345" s="1" t="s">
        <v>12</v>
      </c>
      <c r="I345" s="1" t="s">
        <v>14</v>
      </c>
      <c r="J345" s="1">
        <v>175</v>
      </c>
      <c r="K345" s="1">
        <v>70</v>
      </c>
      <c r="M345" s="1">
        <v>0</v>
      </c>
      <c r="N345" s="1">
        <v>0</v>
      </c>
      <c r="O345" s="1">
        <v>0</v>
      </c>
      <c r="P345" s="1">
        <v>170</v>
      </c>
      <c r="Q345" s="1">
        <v>84</v>
      </c>
      <c r="R345" s="1">
        <v>142</v>
      </c>
      <c r="S345" s="1">
        <v>36</v>
      </c>
      <c r="T345" s="1">
        <v>48</v>
      </c>
      <c r="U345" s="1">
        <v>103</v>
      </c>
      <c r="V345" s="1">
        <v>26</v>
      </c>
      <c r="W345" s="1" t="s">
        <v>359</v>
      </c>
      <c r="Y345" s="1">
        <v>0</v>
      </c>
      <c r="Z345" s="1">
        <v>1</v>
      </c>
      <c r="AA345" s="1">
        <v>0</v>
      </c>
      <c r="AL345" s="1" t="s">
        <v>438</v>
      </c>
      <c r="AM345" s="1" t="s">
        <v>88</v>
      </c>
      <c r="AN345" s="1" t="s">
        <v>438</v>
      </c>
      <c r="AO345" s="1" t="s">
        <v>438</v>
      </c>
      <c r="AV345" s="168">
        <v>44818</v>
      </c>
      <c r="AW345" s="1">
        <f t="shared" ca="1" si="25"/>
        <v>2</v>
      </c>
      <c r="AX345" s="1" t="s">
        <v>444</v>
      </c>
      <c r="AY345" s="1">
        <v>7</v>
      </c>
      <c r="BA345" s="184" t="s">
        <v>34</v>
      </c>
      <c r="BB345" s="1" t="s">
        <v>34</v>
      </c>
      <c r="CI345" s="15" t="s">
        <v>360</v>
      </c>
    </row>
    <row r="346" spans="1:87" hidden="1">
      <c r="A346" s="4">
        <v>345</v>
      </c>
      <c r="B346" s="171">
        <v>31483</v>
      </c>
      <c r="C346" s="1" t="s">
        <v>309</v>
      </c>
      <c r="D346" s="1" t="s">
        <v>418</v>
      </c>
      <c r="E346" s="1">
        <f t="shared" ca="1" si="23"/>
        <v>39</v>
      </c>
      <c r="F346" s="1">
        <f t="shared" si="24"/>
        <v>32</v>
      </c>
      <c r="G346" s="1" t="s">
        <v>6</v>
      </c>
      <c r="H346" s="1" t="s">
        <v>12</v>
      </c>
      <c r="I346" s="1" t="s">
        <v>14</v>
      </c>
      <c r="J346" s="1">
        <v>183</v>
      </c>
      <c r="K346" s="1">
        <v>85</v>
      </c>
      <c r="M346" s="1">
        <v>0</v>
      </c>
      <c r="N346" s="1">
        <v>0</v>
      </c>
      <c r="O346" s="1">
        <v>0</v>
      </c>
      <c r="P346" s="1">
        <v>80</v>
      </c>
      <c r="Q346" s="1">
        <v>68</v>
      </c>
      <c r="R346" s="1">
        <v>179</v>
      </c>
      <c r="S346" s="1">
        <v>151</v>
      </c>
      <c r="T346" s="1">
        <v>67</v>
      </c>
      <c r="U346" s="1">
        <v>48</v>
      </c>
      <c r="V346" s="1" t="s">
        <v>357</v>
      </c>
      <c r="W346" s="1">
        <v>4934</v>
      </c>
      <c r="Y346" s="1">
        <v>0</v>
      </c>
      <c r="Z346" s="1">
        <v>1</v>
      </c>
      <c r="AA346" s="1">
        <v>0</v>
      </c>
      <c r="AL346" s="1" t="s">
        <v>438</v>
      </c>
      <c r="AM346" s="1" t="s">
        <v>332</v>
      </c>
      <c r="AO346" s="1" t="s">
        <v>438</v>
      </c>
      <c r="AP346" s="1" t="s">
        <v>438</v>
      </c>
      <c r="AV346" s="168">
        <v>43332</v>
      </c>
      <c r="AW346" s="1">
        <f t="shared" ca="1" si="25"/>
        <v>6</v>
      </c>
      <c r="AX346" s="1" t="s">
        <v>445</v>
      </c>
      <c r="AY346" s="1">
        <v>0</v>
      </c>
      <c r="BA346" s="184" t="s">
        <v>356</v>
      </c>
      <c r="BB346" s="1" t="s">
        <v>446</v>
      </c>
      <c r="BL346" s="1" t="s">
        <v>447</v>
      </c>
      <c r="BN346" s="1" t="s">
        <v>482</v>
      </c>
    </row>
    <row r="347" spans="1:87" hidden="1">
      <c r="A347" s="4">
        <v>346</v>
      </c>
      <c r="B347" s="171">
        <v>22554</v>
      </c>
      <c r="C347" s="1" t="s">
        <v>309</v>
      </c>
      <c r="D347" s="1" t="s">
        <v>418</v>
      </c>
      <c r="E347" s="1">
        <f t="shared" ca="1" si="23"/>
        <v>63</v>
      </c>
      <c r="F347" s="1">
        <f t="shared" si="24"/>
        <v>56</v>
      </c>
      <c r="G347" s="1" t="s">
        <v>5</v>
      </c>
      <c r="H347" s="1" t="s">
        <v>13</v>
      </c>
      <c r="I347" s="1" t="s">
        <v>14</v>
      </c>
      <c r="J347" s="1">
        <v>180</v>
      </c>
      <c r="K347" s="1">
        <v>76</v>
      </c>
      <c r="M347" s="1">
        <v>0</v>
      </c>
      <c r="N347" s="1">
        <v>0</v>
      </c>
      <c r="O347" s="1">
        <v>0</v>
      </c>
      <c r="P347" s="1">
        <v>137</v>
      </c>
      <c r="Q347" s="1">
        <v>98</v>
      </c>
      <c r="R347" s="1">
        <v>161</v>
      </c>
      <c r="S347" s="1">
        <v>17</v>
      </c>
      <c r="T347" s="1">
        <v>85</v>
      </c>
      <c r="U347" s="1">
        <v>136</v>
      </c>
      <c r="V347" s="1">
        <v>36</v>
      </c>
      <c r="W347" s="1" t="s">
        <v>359</v>
      </c>
      <c r="Y347" s="1">
        <v>19000</v>
      </c>
      <c r="Z347" s="1">
        <v>1</v>
      </c>
      <c r="AA347" s="1">
        <v>1</v>
      </c>
      <c r="AD347" s="1" t="s">
        <v>83</v>
      </c>
      <c r="AL347" s="1" t="s">
        <v>438</v>
      </c>
      <c r="AM347" s="1" t="s">
        <v>88</v>
      </c>
      <c r="AN347" s="1" t="s">
        <v>438</v>
      </c>
      <c r="AP347" s="1" t="s">
        <v>439</v>
      </c>
      <c r="AQ347" s="1" t="s">
        <v>439</v>
      </c>
      <c r="AV347" s="168">
        <v>43291</v>
      </c>
      <c r="AW347" s="1">
        <f t="shared" ca="1" si="25"/>
        <v>7</v>
      </c>
      <c r="AX347" s="1" t="s">
        <v>444</v>
      </c>
      <c r="AY347" s="207" t="s">
        <v>363</v>
      </c>
      <c r="BA347" s="184" t="s">
        <v>356</v>
      </c>
      <c r="BB347" s="1" t="s">
        <v>34</v>
      </c>
    </row>
    <row r="348" spans="1:87" hidden="1">
      <c r="A348" s="4">
        <v>347</v>
      </c>
      <c r="B348" s="171">
        <v>31467</v>
      </c>
      <c r="C348" s="1" t="s">
        <v>309</v>
      </c>
      <c r="D348" s="1" t="s">
        <v>170</v>
      </c>
      <c r="E348" s="1">
        <f t="shared" ref="E348:E369" ca="1" si="26">DATEDIF(B348,TODAY(),"Y")</f>
        <v>39</v>
      </c>
      <c r="F348" s="1">
        <f t="shared" si="24"/>
        <v>30</v>
      </c>
      <c r="G348" s="1" t="s">
        <v>6</v>
      </c>
      <c r="H348" s="1" t="s">
        <v>12</v>
      </c>
      <c r="I348" s="1" t="s">
        <v>12</v>
      </c>
      <c r="J348" s="1">
        <v>160</v>
      </c>
      <c r="K348" s="1">
        <v>58</v>
      </c>
      <c r="M348" s="1">
        <v>0</v>
      </c>
      <c r="N348" s="1">
        <v>0</v>
      </c>
      <c r="O348" s="1">
        <v>0</v>
      </c>
      <c r="P348" s="1">
        <v>58</v>
      </c>
      <c r="Q348" s="1">
        <v>52</v>
      </c>
      <c r="R348" s="1">
        <v>69</v>
      </c>
      <c r="S348" s="1">
        <v>11</v>
      </c>
      <c r="T348" s="1">
        <v>95</v>
      </c>
      <c r="U348" s="1">
        <v>208</v>
      </c>
      <c r="V348" s="1">
        <v>36</v>
      </c>
      <c r="W348" s="1">
        <v>2954</v>
      </c>
      <c r="Z348" s="1">
        <v>0</v>
      </c>
      <c r="AA348" s="1">
        <v>0</v>
      </c>
      <c r="AB348" s="1" t="s">
        <v>91</v>
      </c>
      <c r="AC348" s="1" t="s">
        <v>106</v>
      </c>
      <c r="AL348" s="1" t="s">
        <v>437</v>
      </c>
      <c r="AV348" s="208">
        <v>42736</v>
      </c>
      <c r="AW348" s="1">
        <f t="shared" ca="1" si="25"/>
        <v>8</v>
      </c>
      <c r="AX348" s="1" t="s">
        <v>445</v>
      </c>
      <c r="AY348" s="209" t="s">
        <v>364</v>
      </c>
      <c r="BA348" s="184" t="s">
        <v>356</v>
      </c>
      <c r="BB348" s="1" t="s">
        <v>447</v>
      </c>
    </row>
    <row r="349" spans="1:87" hidden="1">
      <c r="A349" s="4">
        <v>348</v>
      </c>
      <c r="B349" s="171">
        <v>31703</v>
      </c>
      <c r="C349" s="1" t="s">
        <v>309</v>
      </c>
      <c r="D349" s="1" t="s">
        <v>418</v>
      </c>
      <c r="E349" s="1">
        <f t="shared" ca="1" si="26"/>
        <v>38</v>
      </c>
      <c r="F349" s="1">
        <f t="shared" si="24"/>
        <v>32</v>
      </c>
      <c r="G349" s="1" t="s">
        <v>6</v>
      </c>
      <c r="H349" s="1" t="s">
        <v>14</v>
      </c>
      <c r="I349" s="1" t="s">
        <v>14</v>
      </c>
      <c r="J349" s="1">
        <v>169</v>
      </c>
      <c r="K349" s="1">
        <v>72</v>
      </c>
      <c r="M349" s="1">
        <v>0</v>
      </c>
      <c r="N349" s="1">
        <v>0</v>
      </c>
      <c r="O349" s="1">
        <v>0</v>
      </c>
      <c r="P349" s="1">
        <v>602</v>
      </c>
      <c r="Q349" s="1">
        <v>476</v>
      </c>
      <c r="R349" s="1">
        <v>118</v>
      </c>
      <c r="S349" s="1">
        <v>217</v>
      </c>
      <c r="T349" s="1">
        <v>32</v>
      </c>
      <c r="U349" s="1">
        <v>88</v>
      </c>
      <c r="V349" s="1">
        <v>23</v>
      </c>
      <c r="W349" s="1">
        <v>846</v>
      </c>
      <c r="X349" s="1">
        <v>0</v>
      </c>
      <c r="Y349" s="1">
        <v>31</v>
      </c>
      <c r="Z349" s="1">
        <v>1</v>
      </c>
      <c r="AA349" s="1">
        <v>0</v>
      </c>
      <c r="AB349" s="1" t="s">
        <v>106</v>
      </c>
      <c r="AL349" s="1" t="s">
        <v>440</v>
      </c>
      <c r="AM349" s="1" t="s">
        <v>186</v>
      </c>
      <c r="AN349" s="1" t="s">
        <v>440</v>
      </c>
      <c r="AO349" s="1" t="s">
        <v>440</v>
      </c>
      <c r="AT349" s="1" t="s">
        <v>440</v>
      </c>
      <c r="AV349" s="168">
        <v>43544</v>
      </c>
      <c r="AW349" s="1">
        <f t="shared" ca="1" si="25"/>
        <v>6</v>
      </c>
      <c r="AX349" s="1" t="s">
        <v>445</v>
      </c>
      <c r="AY349" s="1">
        <v>0</v>
      </c>
      <c r="BA349" s="184" t="s">
        <v>356</v>
      </c>
      <c r="BB349" s="1" t="s">
        <v>448</v>
      </c>
      <c r="BE349" s="1">
        <v>1</v>
      </c>
      <c r="BF349" s="1">
        <v>1</v>
      </c>
      <c r="BH349" s="1">
        <v>1</v>
      </c>
      <c r="BK349" s="1" t="s">
        <v>467</v>
      </c>
    </row>
    <row r="350" spans="1:87" hidden="1">
      <c r="A350" s="4">
        <v>349</v>
      </c>
      <c r="B350" s="171">
        <v>25573</v>
      </c>
      <c r="C350" s="1" t="s">
        <v>309</v>
      </c>
      <c r="D350" s="1" t="s">
        <v>170</v>
      </c>
      <c r="E350" s="1">
        <f t="shared" ca="1" si="26"/>
        <v>55</v>
      </c>
      <c r="F350" s="1">
        <f t="shared" si="24"/>
        <v>48</v>
      </c>
      <c r="G350" s="1" t="s">
        <v>6</v>
      </c>
      <c r="H350" s="1" t="s">
        <v>12</v>
      </c>
      <c r="I350" s="1" t="s">
        <v>12</v>
      </c>
      <c r="K350" s="1">
        <v>76</v>
      </c>
      <c r="M350" s="1">
        <v>1</v>
      </c>
      <c r="N350" s="1">
        <v>0</v>
      </c>
      <c r="O350" s="1">
        <v>0</v>
      </c>
      <c r="P350" s="1">
        <v>104</v>
      </c>
      <c r="Q350" s="1">
        <v>101</v>
      </c>
      <c r="R350" s="1">
        <v>34</v>
      </c>
      <c r="S350" s="1">
        <v>20</v>
      </c>
      <c r="T350" s="1">
        <v>90</v>
      </c>
      <c r="U350" s="1">
        <v>160</v>
      </c>
      <c r="V350" s="1">
        <v>37</v>
      </c>
      <c r="W350" s="1" t="s">
        <v>359</v>
      </c>
      <c r="Z350" s="1">
        <v>1</v>
      </c>
      <c r="AA350" s="1">
        <v>0</v>
      </c>
      <c r="AC350" s="1" t="s">
        <v>91</v>
      </c>
      <c r="AG350" s="1" t="s">
        <v>106</v>
      </c>
      <c r="AH350" s="1" t="s">
        <v>106</v>
      </c>
      <c r="AL350" s="1" t="s">
        <v>437</v>
      </c>
      <c r="AV350" s="168">
        <v>43154</v>
      </c>
      <c r="AW350" s="1">
        <f t="shared" ca="1" si="25"/>
        <v>7</v>
      </c>
      <c r="AX350" s="1" t="s">
        <v>445</v>
      </c>
      <c r="AY350" s="1">
        <v>8</v>
      </c>
      <c r="BA350" s="184" t="s">
        <v>34</v>
      </c>
      <c r="BB350" s="1" t="s">
        <v>448</v>
      </c>
      <c r="BC350" s="1" t="s">
        <v>480</v>
      </c>
      <c r="BD350" s="1">
        <v>1</v>
      </c>
      <c r="CG350" s="1">
        <v>1</v>
      </c>
    </row>
    <row r="351" spans="1:87" hidden="1">
      <c r="A351" s="4">
        <v>350</v>
      </c>
      <c r="B351" s="171">
        <v>30343</v>
      </c>
      <c r="C351" s="1" t="s">
        <v>309</v>
      </c>
      <c r="D351" s="1" t="s">
        <v>418</v>
      </c>
      <c r="E351" s="1">
        <f t="shared" ca="1" si="26"/>
        <v>42</v>
      </c>
      <c r="F351" s="1">
        <f t="shared" si="24"/>
        <v>32</v>
      </c>
      <c r="G351" s="1" t="s">
        <v>6</v>
      </c>
      <c r="H351" s="1" t="s">
        <v>12</v>
      </c>
      <c r="I351" s="1" t="s">
        <v>12</v>
      </c>
      <c r="J351" s="1">
        <v>173</v>
      </c>
      <c r="K351" s="1">
        <v>73</v>
      </c>
      <c r="M351" s="1">
        <v>1</v>
      </c>
      <c r="N351" s="1">
        <v>1</v>
      </c>
      <c r="O351" s="1">
        <v>1</v>
      </c>
      <c r="P351" s="1">
        <v>120</v>
      </c>
      <c r="Q351" s="1">
        <v>120</v>
      </c>
      <c r="R351" s="1">
        <v>305</v>
      </c>
      <c r="S351" s="1">
        <v>31</v>
      </c>
      <c r="T351" s="1">
        <v>90</v>
      </c>
      <c r="U351" s="1">
        <v>122</v>
      </c>
      <c r="V351" s="1">
        <v>43</v>
      </c>
      <c r="W351" s="1" t="s">
        <v>359</v>
      </c>
      <c r="Y351" s="1">
        <v>0</v>
      </c>
      <c r="Z351" s="1">
        <v>0</v>
      </c>
      <c r="AA351" s="1">
        <v>0</v>
      </c>
      <c r="AC351" s="1" t="s">
        <v>83</v>
      </c>
      <c r="AL351" s="1" t="s">
        <v>438</v>
      </c>
      <c r="AM351" s="1" t="s">
        <v>84</v>
      </c>
      <c r="AO351" s="1" t="s">
        <v>440</v>
      </c>
      <c r="AR351" s="1" t="s">
        <v>440</v>
      </c>
      <c r="AV351" s="208">
        <v>42339</v>
      </c>
      <c r="AW351" s="1">
        <f t="shared" ca="1" si="25"/>
        <v>9</v>
      </c>
      <c r="AX351" s="1" t="s">
        <v>445</v>
      </c>
      <c r="AY351" s="209" t="s">
        <v>392</v>
      </c>
      <c r="BA351" s="184" t="s">
        <v>356</v>
      </c>
      <c r="BB351" s="1" t="s">
        <v>448</v>
      </c>
      <c r="BD351" s="1">
        <v>1</v>
      </c>
      <c r="BL351" s="1" t="s">
        <v>446</v>
      </c>
      <c r="BN351" s="1" t="s">
        <v>483</v>
      </c>
    </row>
    <row r="352" spans="1:87" hidden="1">
      <c r="A352" s="4">
        <v>351</v>
      </c>
      <c r="B352" s="171">
        <v>29478</v>
      </c>
      <c r="C352" s="1" t="s">
        <v>309</v>
      </c>
      <c r="D352" s="1" t="s">
        <v>418</v>
      </c>
      <c r="E352" s="1">
        <f t="shared" ca="1" si="26"/>
        <v>44</v>
      </c>
      <c r="F352" s="1">
        <f t="shared" si="24"/>
        <v>27</v>
      </c>
      <c r="G352" s="1" t="s">
        <v>6</v>
      </c>
      <c r="H352" s="1" t="s">
        <v>12</v>
      </c>
      <c r="I352" s="1" t="s">
        <v>12</v>
      </c>
      <c r="J352" s="1">
        <v>172</v>
      </c>
      <c r="K352" s="1">
        <v>54</v>
      </c>
      <c r="M352" s="1">
        <v>0</v>
      </c>
      <c r="N352" s="1">
        <v>0</v>
      </c>
      <c r="O352" s="1">
        <v>0</v>
      </c>
      <c r="P352" s="1">
        <v>257</v>
      </c>
      <c r="Q352" s="1">
        <v>423</v>
      </c>
      <c r="R352" s="1">
        <v>230</v>
      </c>
      <c r="T352" s="1">
        <v>100</v>
      </c>
      <c r="W352" s="1" t="s">
        <v>359</v>
      </c>
      <c r="Z352" s="1">
        <v>1</v>
      </c>
      <c r="AA352" s="1">
        <v>0</v>
      </c>
      <c r="AB352" s="1" t="s">
        <v>128</v>
      </c>
      <c r="AC352" s="1" t="s">
        <v>106</v>
      </c>
      <c r="AH352" s="1" t="s">
        <v>91</v>
      </c>
      <c r="AL352" s="1" t="s">
        <v>437</v>
      </c>
      <c r="AV352" s="168">
        <v>39448</v>
      </c>
      <c r="AW352" s="1">
        <f t="shared" ca="1" si="25"/>
        <v>17</v>
      </c>
      <c r="AX352" s="1" t="s">
        <v>444</v>
      </c>
      <c r="AY352" s="1">
        <v>1.93</v>
      </c>
      <c r="BA352" s="184" t="s">
        <v>356</v>
      </c>
      <c r="BB352" s="1" t="s">
        <v>448</v>
      </c>
      <c r="BC352" s="1" t="s">
        <v>480</v>
      </c>
      <c r="BD352" s="1">
        <v>1</v>
      </c>
      <c r="BJ352" s="1">
        <v>1</v>
      </c>
      <c r="BL352" s="1" t="s">
        <v>446</v>
      </c>
      <c r="BN352" s="1" t="s">
        <v>483</v>
      </c>
      <c r="BV352" s="1" t="s">
        <v>447</v>
      </c>
      <c r="BW352" s="1" t="s">
        <v>480</v>
      </c>
      <c r="BX352" s="1" t="s">
        <v>482</v>
      </c>
    </row>
    <row r="353" spans="1:87" hidden="1">
      <c r="A353" s="4">
        <v>352</v>
      </c>
      <c r="B353" s="171">
        <v>29291</v>
      </c>
      <c r="C353" s="1" t="s">
        <v>309</v>
      </c>
      <c r="D353" s="1" t="s">
        <v>170</v>
      </c>
      <c r="E353" s="1">
        <f t="shared" ca="1" si="26"/>
        <v>45</v>
      </c>
      <c r="F353" s="1">
        <f t="shared" si="24"/>
        <v>43</v>
      </c>
      <c r="G353" s="1" t="s">
        <v>6</v>
      </c>
      <c r="H353" s="1" t="s">
        <v>12</v>
      </c>
      <c r="I353" s="1" t="s">
        <v>12</v>
      </c>
      <c r="J353" s="1">
        <v>160</v>
      </c>
      <c r="K353" s="1">
        <v>58</v>
      </c>
      <c r="M353" s="1">
        <v>0</v>
      </c>
      <c r="N353" s="1">
        <v>0</v>
      </c>
      <c r="O353" s="1">
        <v>0</v>
      </c>
      <c r="P353" s="1">
        <v>135</v>
      </c>
      <c r="Q353" s="1">
        <v>32</v>
      </c>
      <c r="R353" s="1">
        <v>20</v>
      </c>
      <c r="S353" s="1">
        <v>99</v>
      </c>
      <c r="T353" s="1">
        <v>54</v>
      </c>
      <c r="U353" s="1">
        <v>89</v>
      </c>
      <c r="V353" s="1">
        <v>28</v>
      </c>
      <c r="W353" s="1" t="s">
        <v>359</v>
      </c>
      <c r="Y353" s="1">
        <v>0</v>
      </c>
      <c r="Z353" s="1">
        <v>0</v>
      </c>
      <c r="AA353" s="1">
        <v>0</v>
      </c>
      <c r="AL353" s="1" t="s">
        <v>438</v>
      </c>
      <c r="AM353" s="1" t="s">
        <v>186</v>
      </c>
      <c r="AN353" s="1" t="s">
        <v>438</v>
      </c>
      <c r="AQ353" s="1" t="s">
        <v>438</v>
      </c>
      <c r="AV353" s="168">
        <v>45229</v>
      </c>
      <c r="AW353" s="1">
        <f t="shared" ca="1" si="25"/>
        <v>1</v>
      </c>
      <c r="AX353" s="1" t="s">
        <v>445</v>
      </c>
      <c r="AY353" s="209" t="s">
        <v>365</v>
      </c>
      <c r="BA353" s="184" t="s">
        <v>356</v>
      </c>
      <c r="BB353" s="1" t="s">
        <v>34</v>
      </c>
    </row>
    <row r="354" spans="1:87" hidden="1">
      <c r="A354" s="4">
        <v>353</v>
      </c>
      <c r="B354" s="171">
        <v>34829</v>
      </c>
      <c r="C354" s="1" t="s">
        <v>309</v>
      </c>
      <c r="D354" s="1" t="s">
        <v>418</v>
      </c>
      <c r="E354" s="1">
        <f t="shared" ca="1" si="26"/>
        <v>30</v>
      </c>
      <c r="F354" s="1">
        <f t="shared" si="24"/>
        <v>29</v>
      </c>
      <c r="G354" s="1" t="s">
        <v>5</v>
      </c>
      <c r="H354" s="1" t="s">
        <v>12</v>
      </c>
      <c r="I354" s="1" t="s">
        <v>13</v>
      </c>
      <c r="J354" s="1">
        <v>168</v>
      </c>
      <c r="K354" s="1">
        <v>70</v>
      </c>
      <c r="M354" s="1">
        <v>1</v>
      </c>
      <c r="N354" s="1">
        <v>1</v>
      </c>
      <c r="O354" s="1">
        <v>1</v>
      </c>
      <c r="P354" s="1">
        <v>35</v>
      </c>
      <c r="Q354" s="1">
        <v>10</v>
      </c>
      <c r="R354" s="1">
        <v>80</v>
      </c>
      <c r="S354" s="1">
        <v>6</v>
      </c>
      <c r="U354" s="1">
        <v>191</v>
      </c>
      <c r="V354" s="1">
        <v>30</v>
      </c>
      <c r="W354" s="1" t="s">
        <v>359</v>
      </c>
      <c r="Z354" s="1">
        <v>0</v>
      </c>
      <c r="AA354" s="1">
        <v>0</v>
      </c>
      <c r="AV354" s="168">
        <v>45553</v>
      </c>
      <c r="AW354" s="1">
        <f t="shared" ca="1" si="25"/>
        <v>0</v>
      </c>
      <c r="AX354" s="1" t="s">
        <v>63</v>
      </c>
      <c r="BA354" s="184" t="s">
        <v>34</v>
      </c>
      <c r="BB354" s="1" t="s">
        <v>34</v>
      </c>
    </row>
    <row r="355" spans="1:87" ht="15.6" hidden="1">
      <c r="A355" s="4">
        <v>354</v>
      </c>
      <c r="B355" s="171">
        <v>30275</v>
      </c>
      <c r="C355" s="1" t="s">
        <v>309</v>
      </c>
      <c r="D355" s="1" t="s">
        <v>418</v>
      </c>
      <c r="E355" s="1">
        <f t="shared" ca="1" si="26"/>
        <v>42</v>
      </c>
      <c r="F355" s="1">
        <f t="shared" si="24"/>
        <v>22</v>
      </c>
      <c r="G355" s="1" t="s">
        <v>419</v>
      </c>
      <c r="H355" s="1" t="s">
        <v>12</v>
      </c>
      <c r="I355" s="1" t="s">
        <v>14</v>
      </c>
      <c r="J355" s="1">
        <v>176</v>
      </c>
      <c r="K355" s="1">
        <v>67</v>
      </c>
      <c r="M355" s="1">
        <v>0</v>
      </c>
      <c r="N355" s="1">
        <v>0</v>
      </c>
      <c r="O355" s="1">
        <v>1</v>
      </c>
      <c r="P355" s="1">
        <v>98</v>
      </c>
      <c r="Q355" s="1">
        <v>62</v>
      </c>
      <c r="R355" s="1">
        <v>117</v>
      </c>
      <c r="S355" s="1">
        <v>28</v>
      </c>
      <c r="T355" s="1">
        <v>54</v>
      </c>
      <c r="U355" s="1">
        <v>45</v>
      </c>
      <c r="V355" s="1">
        <v>24</v>
      </c>
      <c r="W355" s="1" t="s">
        <v>359</v>
      </c>
      <c r="Z355" s="1">
        <v>0</v>
      </c>
      <c r="AA355" s="1">
        <v>0</v>
      </c>
      <c r="AE355" s="1" t="s">
        <v>83</v>
      </c>
      <c r="AL355" s="1" t="s">
        <v>438</v>
      </c>
      <c r="AM355" s="1" t="s">
        <v>88</v>
      </c>
      <c r="AN355" s="1" t="s">
        <v>439</v>
      </c>
      <c r="AO355" s="1" t="s">
        <v>439</v>
      </c>
      <c r="AT355" s="1" t="s">
        <v>440</v>
      </c>
      <c r="AV355" s="210">
        <v>38353</v>
      </c>
      <c r="AW355" s="1">
        <f t="shared" ca="1" si="25"/>
        <v>20</v>
      </c>
      <c r="AX355" s="1" t="s">
        <v>445</v>
      </c>
      <c r="AY355" s="211"/>
      <c r="BA355" s="184" t="s">
        <v>34</v>
      </c>
      <c r="BB355" s="1" t="s">
        <v>34</v>
      </c>
      <c r="CI355" s="15" t="s">
        <v>390</v>
      </c>
    </row>
    <row r="356" spans="1:87" ht="15.6" hidden="1">
      <c r="A356" s="4">
        <v>355</v>
      </c>
      <c r="B356" s="171">
        <v>28633</v>
      </c>
      <c r="C356" s="1" t="s">
        <v>309</v>
      </c>
      <c r="D356" s="1" t="s">
        <v>418</v>
      </c>
      <c r="E356" s="1">
        <f t="shared" ca="1" si="26"/>
        <v>47</v>
      </c>
      <c r="F356" s="1">
        <f t="shared" si="24"/>
        <v>38</v>
      </c>
      <c r="G356" s="1" t="s">
        <v>8</v>
      </c>
      <c r="H356" s="1" t="s">
        <v>12</v>
      </c>
      <c r="I356" s="1" t="s">
        <v>12</v>
      </c>
      <c r="M356" s="1">
        <v>0</v>
      </c>
      <c r="N356" s="1">
        <v>0</v>
      </c>
      <c r="O356" s="1">
        <v>0</v>
      </c>
      <c r="P356" s="1">
        <v>62</v>
      </c>
      <c r="Q356" s="1">
        <v>82</v>
      </c>
      <c r="R356" s="1">
        <v>84</v>
      </c>
      <c r="S356" s="1">
        <v>8</v>
      </c>
      <c r="T356" s="1">
        <v>91</v>
      </c>
      <c r="U356" s="1">
        <v>76</v>
      </c>
      <c r="V356" s="1">
        <v>38</v>
      </c>
      <c r="W356" s="1">
        <v>8029</v>
      </c>
      <c r="X356" s="1">
        <v>1</v>
      </c>
      <c r="Y356" s="1">
        <v>348</v>
      </c>
      <c r="Z356" s="1">
        <v>1</v>
      </c>
      <c r="AA356" s="1">
        <v>0</v>
      </c>
      <c r="AC356" s="1" t="s">
        <v>106</v>
      </c>
      <c r="AE356" s="1" t="s">
        <v>110</v>
      </c>
      <c r="AG356" s="1" t="s">
        <v>106</v>
      </c>
      <c r="AH356" s="1" t="s">
        <v>128</v>
      </c>
      <c r="AL356" s="1" t="s">
        <v>437</v>
      </c>
      <c r="AV356" s="210">
        <v>42736</v>
      </c>
      <c r="AW356" s="1">
        <f t="shared" ca="1" si="25"/>
        <v>8</v>
      </c>
      <c r="AX356" s="1" t="s">
        <v>444</v>
      </c>
      <c r="AY356" s="212">
        <v>5.21</v>
      </c>
      <c r="BA356" s="184" t="s">
        <v>356</v>
      </c>
      <c r="BB356" s="1" t="s">
        <v>448</v>
      </c>
      <c r="BC356" s="1" t="s">
        <v>480</v>
      </c>
      <c r="BE356" s="1">
        <v>1</v>
      </c>
      <c r="BH356" s="1">
        <v>1</v>
      </c>
      <c r="BJ356" s="1">
        <v>1</v>
      </c>
      <c r="BK356" s="1" t="s">
        <v>468</v>
      </c>
      <c r="BL356" s="1" t="s">
        <v>446</v>
      </c>
      <c r="BN356" s="1" t="s">
        <v>482</v>
      </c>
      <c r="CF356" s="1" t="s">
        <v>313</v>
      </c>
    </row>
    <row r="357" spans="1:87" hidden="1">
      <c r="A357" s="4">
        <v>356</v>
      </c>
      <c r="B357" s="171">
        <v>33970</v>
      </c>
      <c r="C357" s="1" t="s">
        <v>309</v>
      </c>
      <c r="D357" s="1" t="s">
        <v>418</v>
      </c>
      <c r="E357" s="1">
        <f t="shared" ca="1" si="26"/>
        <v>32</v>
      </c>
      <c r="F357" s="1">
        <f t="shared" si="24"/>
        <v>24</v>
      </c>
      <c r="G357" s="1" t="s">
        <v>8</v>
      </c>
      <c r="H357" s="1" t="s">
        <v>12</v>
      </c>
      <c r="I357" s="1" t="s">
        <v>14</v>
      </c>
      <c r="M357" s="1">
        <v>0</v>
      </c>
      <c r="N357" s="1">
        <v>0</v>
      </c>
      <c r="O357" s="1">
        <v>0</v>
      </c>
      <c r="P357" s="1">
        <v>53</v>
      </c>
      <c r="Q357" s="1">
        <v>72</v>
      </c>
      <c r="R357" s="1">
        <v>71</v>
      </c>
      <c r="S357" s="1">
        <v>10</v>
      </c>
      <c r="T357" s="1">
        <v>99</v>
      </c>
      <c r="U357" s="1">
        <v>221</v>
      </c>
      <c r="V357" s="1">
        <v>49</v>
      </c>
      <c r="W357" s="1">
        <v>2256</v>
      </c>
      <c r="X357" s="1">
        <v>0</v>
      </c>
      <c r="Y357" s="1">
        <v>136</v>
      </c>
      <c r="Z357" s="1">
        <v>0</v>
      </c>
      <c r="AA357" s="1">
        <v>1</v>
      </c>
      <c r="AC357" s="1" t="s">
        <v>91</v>
      </c>
      <c r="AE357" s="1" t="s">
        <v>110</v>
      </c>
      <c r="AL357" s="1" t="s">
        <v>437</v>
      </c>
      <c r="AV357" s="168">
        <v>42963</v>
      </c>
      <c r="AW357" s="1">
        <f t="shared" ca="1" si="25"/>
        <v>7</v>
      </c>
      <c r="AX357" s="1" t="s">
        <v>445</v>
      </c>
      <c r="AY357" s="207" t="s">
        <v>366</v>
      </c>
      <c r="BA357" s="184" t="s">
        <v>34</v>
      </c>
      <c r="BB357" s="1" t="s">
        <v>34</v>
      </c>
      <c r="CG357" s="1">
        <v>1</v>
      </c>
    </row>
    <row r="358" spans="1:87" ht="15.6" hidden="1">
      <c r="A358" s="4">
        <v>357</v>
      </c>
      <c r="B358" s="171">
        <v>23263</v>
      </c>
      <c r="C358" s="1" t="s">
        <v>309</v>
      </c>
      <c r="D358" s="1" t="s">
        <v>418</v>
      </c>
      <c r="E358" s="1">
        <f t="shared" ca="1" si="26"/>
        <v>61</v>
      </c>
      <c r="F358" s="1">
        <f t="shared" si="24"/>
        <v>40</v>
      </c>
      <c r="G358" s="1" t="s">
        <v>5</v>
      </c>
      <c r="H358" s="1" t="s">
        <v>12</v>
      </c>
      <c r="I358" s="1" t="s">
        <v>12</v>
      </c>
      <c r="J358" s="1">
        <v>180</v>
      </c>
      <c r="K358" s="1">
        <v>85</v>
      </c>
      <c r="M358" s="1">
        <v>0</v>
      </c>
      <c r="N358" s="1">
        <v>0</v>
      </c>
      <c r="O358" s="1">
        <v>0</v>
      </c>
      <c r="P358" s="1">
        <v>28</v>
      </c>
      <c r="Q358" s="1">
        <v>31</v>
      </c>
      <c r="R358" s="1">
        <v>17</v>
      </c>
      <c r="S358" s="1">
        <v>12</v>
      </c>
      <c r="T358" s="1">
        <v>92</v>
      </c>
      <c r="U358" s="1">
        <v>226</v>
      </c>
      <c r="V358" s="1">
        <v>44</v>
      </c>
      <c r="W358" s="1" t="s">
        <v>359</v>
      </c>
      <c r="Y358" s="1">
        <v>0</v>
      </c>
      <c r="Z358" s="1">
        <v>0</v>
      </c>
      <c r="AA358" s="1">
        <v>1</v>
      </c>
      <c r="AC358" s="1" t="s">
        <v>128</v>
      </c>
      <c r="AL358" s="1" t="s">
        <v>437</v>
      </c>
      <c r="AV358" s="210">
        <v>37987</v>
      </c>
      <c r="AW358" s="1">
        <f t="shared" ca="1" si="25"/>
        <v>21</v>
      </c>
      <c r="AX358" s="1" t="s">
        <v>31</v>
      </c>
      <c r="AY358" s="213"/>
      <c r="BA358" s="184" t="s">
        <v>356</v>
      </c>
      <c r="BB358" s="1" t="s">
        <v>448</v>
      </c>
      <c r="BC358" s="1" t="s">
        <v>480</v>
      </c>
      <c r="BL358" s="1" t="s">
        <v>446</v>
      </c>
      <c r="BN358" s="1" t="s">
        <v>482</v>
      </c>
    </row>
    <row r="359" spans="1:87" hidden="1">
      <c r="A359" s="4">
        <v>358</v>
      </c>
      <c r="B359" s="171">
        <v>31232</v>
      </c>
      <c r="C359" s="1" t="s">
        <v>309</v>
      </c>
      <c r="D359" s="1" t="s">
        <v>170</v>
      </c>
      <c r="E359" s="1">
        <f t="shared" ca="1" si="26"/>
        <v>40</v>
      </c>
      <c r="F359" s="1">
        <f t="shared" si="24"/>
        <v>36</v>
      </c>
      <c r="G359" s="1" t="s">
        <v>8</v>
      </c>
      <c r="H359" s="1" t="s">
        <v>12</v>
      </c>
      <c r="I359" s="1" t="s">
        <v>12</v>
      </c>
      <c r="J359" s="1">
        <v>160</v>
      </c>
      <c r="K359" s="1">
        <v>105</v>
      </c>
      <c r="M359" s="1">
        <v>1</v>
      </c>
      <c r="N359" s="1">
        <v>1</v>
      </c>
      <c r="O359" s="1">
        <v>1</v>
      </c>
      <c r="P359" s="1">
        <v>35</v>
      </c>
      <c r="Q359" s="1">
        <v>26</v>
      </c>
      <c r="R359" s="1">
        <v>94</v>
      </c>
      <c r="S359" s="1">
        <v>10</v>
      </c>
      <c r="T359" s="1">
        <v>100</v>
      </c>
      <c r="U359" s="1">
        <v>200</v>
      </c>
      <c r="V359" s="1">
        <v>38</v>
      </c>
      <c r="W359" s="1" t="s">
        <v>359</v>
      </c>
      <c r="X359" s="1">
        <v>0</v>
      </c>
      <c r="Y359" s="1">
        <v>0</v>
      </c>
      <c r="Z359" s="1">
        <v>1</v>
      </c>
      <c r="AA359" s="1">
        <v>0</v>
      </c>
      <c r="AL359" s="1" t="s">
        <v>437</v>
      </c>
      <c r="AV359" s="168">
        <v>44546</v>
      </c>
      <c r="AW359" s="1">
        <f t="shared" ca="1" si="25"/>
        <v>3</v>
      </c>
      <c r="AX359" s="1" t="s">
        <v>445</v>
      </c>
      <c r="AY359" s="209" t="s">
        <v>367</v>
      </c>
      <c r="BA359" s="184" t="s">
        <v>34</v>
      </c>
      <c r="BB359" s="1" t="s">
        <v>34</v>
      </c>
      <c r="CG359" s="1" t="s">
        <v>371</v>
      </c>
    </row>
    <row r="360" spans="1:87" ht="15.6" hidden="1">
      <c r="A360" s="4">
        <v>359</v>
      </c>
      <c r="B360" s="171">
        <v>26205</v>
      </c>
      <c r="C360" s="1" t="s">
        <v>309</v>
      </c>
      <c r="D360" s="1" t="s">
        <v>418</v>
      </c>
      <c r="E360" s="1">
        <f t="shared" ca="1" si="26"/>
        <v>53</v>
      </c>
      <c r="F360" s="1">
        <f t="shared" si="24"/>
        <v>50</v>
      </c>
      <c r="G360" s="1" t="s">
        <v>8</v>
      </c>
      <c r="H360" s="1" t="s">
        <v>12</v>
      </c>
      <c r="I360" s="1" t="s">
        <v>12</v>
      </c>
      <c r="M360" s="1">
        <v>0</v>
      </c>
      <c r="N360" s="1">
        <v>0</v>
      </c>
      <c r="O360" s="1">
        <v>0</v>
      </c>
      <c r="P360" s="1">
        <v>442</v>
      </c>
      <c r="Q360" s="1">
        <v>31</v>
      </c>
      <c r="R360" s="1">
        <v>605</v>
      </c>
      <c r="S360" s="1">
        <v>30</v>
      </c>
      <c r="T360" s="1">
        <v>82</v>
      </c>
      <c r="U360" s="1">
        <v>293</v>
      </c>
      <c r="V360" s="1">
        <v>38</v>
      </c>
      <c r="W360" s="1" t="s">
        <v>359</v>
      </c>
      <c r="X360" s="1">
        <v>0</v>
      </c>
      <c r="Y360" s="1">
        <v>0</v>
      </c>
      <c r="Z360" s="1">
        <v>0</v>
      </c>
      <c r="AA360" s="1">
        <v>0</v>
      </c>
      <c r="AL360" s="1" t="s">
        <v>438</v>
      </c>
      <c r="AM360" s="1" t="s">
        <v>84</v>
      </c>
      <c r="AR360" s="1" t="s">
        <v>438</v>
      </c>
      <c r="AV360" s="168">
        <v>44543</v>
      </c>
      <c r="AW360" s="1">
        <f t="shared" ca="1" si="25"/>
        <v>3</v>
      </c>
      <c r="AX360" s="1" t="s">
        <v>445</v>
      </c>
      <c r="AY360" s="212">
        <v>0</v>
      </c>
      <c r="BA360" s="184" t="s">
        <v>34</v>
      </c>
      <c r="BB360" s="1" t="s">
        <v>34</v>
      </c>
      <c r="CI360" s="15" t="s">
        <v>372</v>
      </c>
    </row>
    <row r="361" spans="1:87" hidden="1">
      <c r="A361" s="4">
        <v>360</v>
      </c>
      <c r="B361" s="171">
        <v>31044</v>
      </c>
      <c r="C361" s="1" t="s">
        <v>309</v>
      </c>
      <c r="D361" s="1" t="s">
        <v>418</v>
      </c>
      <c r="E361" s="1">
        <f t="shared" ca="1" si="26"/>
        <v>40</v>
      </c>
      <c r="F361" s="1">
        <f t="shared" si="24"/>
        <v>34</v>
      </c>
      <c r="G361" s="1" t="s">
        <v>419</v>
      </c>
      <c r="H361" s="1" t="s">
        <v>14</v>
      </c>
      <c r="I361" s="1" t="s">
        <v>12</v>
      </c>
      <c r="J361" s="1">
        <v>177</v>
      </c>
      <c r="K361" s="1">
        <v>75</v>
      </c>
      <c r="M361" s="1">
        <v>0</v>
      </c>
      <c r="N361" s="1">
        <v>0</v>
      </c>
      <c r="O361" s="1">
        <v>0</v>
      </c>
      <c r="P361" s="1">
        <v>154</v>
      </c>
      <c r="Q361" s="1">
        <v>20</v>
      </c>
      <c r="R361" s="1">
        <v>429</v>
      </c>
      <c r="S361" s="1">
        <v>14</v>
      </c>
      <c r="T361" s="1">
        <v>97</v>
      </c>
      <c r="U361" s="1">
        <v>67</v>
      </c>
      <c r="V361" s="1">
        <v>27</v>
      </c>
      <c r="W361" s="1" t="s">
        <v>359</v>
      </c>
      <c r="X361" s="1" t="s">
        <v>69</v>
      </c>
      <c r="Y361" s="1">
        <v>0</v>
      </c>
      <c r="Z361" s="1">
        <v>0</v>
      </c>
      <c r="AA361" s="1">
        <v>0</v>
      </c>
      <c r="AL361" s="1" t="s">
        <v>438</v>
      </c>
      <c r="AM361" s="1" t="s">
        <v>88</v>
      </c>
      <c r="AN361" s="1" t="s">
        <v>438</v>
      </c>
      <c r="AV361" s="168">
        <v>43768</v>
      </c>
      <c r="AW361" s="1">
        <f t="shared" ca="1" si="25"/>
        <v>5</v>
      </c>
      <c r="AX361" s="1" t="s">
        <v>445</v>
      </c>
      <c r="AY361" s="209">
        <v>0</v>
      </c>
      <c r="BA361" s="184" t="s">
        <v>34</v>
      </c>
      <c r="BB361" s="1" t="s">
        <v>34</v>
      </c>
      <c r="CG361" s="1">
        <v>1</v>
      </c>
    </row>
    <row r="362" spans="1:87" hidden="1">
      <c r="A362" s="4">
        <v>361</v>
      </c>
      <c r="B362" s="171">
        <v>29587</v>
      </c>
      <c r="C362" s="1" t="s">
        <v>309</v>
      </c>
      <c r="D362" s="1" t="s">
        <v>170</v>
      </c>
      <c r="E362" s="1">
        <f t="shared" ca="1" si="26"/>
        <v>44</v>
      </c>
      <c r="F362" s="1">
        <f t="shared" si="24"/>
        <v>38</v>
      </c>
      <c r="G362" s="1" t="s">
        <v>419</v>
      </c>
      <c r="H362" s="1" t="s">
        <v>12</v>
      </c>
      <c r="I362" s="1" t="s">
        <v>12</v>
      </c>
      <c r="M362" s="1">
        <v>0</v>
      </c>
      <c r="N362" s="1">
        <v>0</v>
      </c>
      <c r="O362" s="1">
        <v>0</v>
      </c>
      <c r="W362" s="1" t="s">
        <v>358</v>
      </c>
      <c r="AV362" s="168">
        <v>43574</v>
      </c>
      <c r="AW362" s="1">
        <f t="shared" ca="1" si="25"/>
        <v>6</v>
      </c>
      <c r="AX362" s="1" t="s">
        <v>445</v>
      </c>
      <c r="BA362" s="184"/>
      <c r="BB362" s="1" t="s">
        <v>34</v>
      </c>
      <c r="CG362" s="1">
        <v>1</v>
      </c>
      <c r="CH362" s="1">
        <v>2</v>
      </c>
      <c r="CI362" s="15" t="s">
        <v>373</v>
      </c>
    </row>
    <row r="363" spans="1:87" hidden="1">
      <c r="A363" s="4">
        <v>362</v>
      </c>
      <c r="B363" s="171">
        <v>30432</v>
      </c>
      <c r="C363" s="1" t="s">
        <v>309</v>
      </c>
      <c r="D363" s="1" t="s">
        <v>170</v>
      </c>
      <c r="E363" s="1">
        <f t="shared" ca="1" si="26"/>
        <v>42</v>
      </c>
      <c r="F363" s="1">
        <f t="shared" si="24"/>
        <v>38</v>
      </c>
      <c r="G363" s="1" t="s">
        <v>419</v>
      </c>
      <c r="H363" s="1" t="s">
        <v>12</v>
      </c>
      <c r="I363" s="1" t="s">
        <v>12</v>
      </c>
      <c r="J363" s="1">
        <v>164</v>
      </c>
      <c r="K363" s="1">
        <v>88</v>
      </c>
      <c r="M363" s="1">
        <v>0</v>
      </c>
      <c r="N363" s="1">
        <v>0</v>
      </c>
      <c r="O363" s="1">
        <v>0</v>
      </c>
      <c r="P363" s="1">
        <v>32</v>
      </c>
      <c r="Q363" s="1">
        <v>27</v>
      </c>
      <c r="R363" s="1">
        <v>31</v>
      </c>
      <c r="T363" s="1">
        <v>85</v>
      </c>
      <c r="U363" s="1">
        <v>164</v>
      </c>
      <c r="W363" s="1" t="s">
        <v>359</v>
      </c>
      <c r="Z363" s="1">
        <v>0</v>
      </c>
      <c r="AA363" s="1">
        <v>1</v>
      </c>
      <c r="AV363" s="168">
        <v>44459</v>
      </c>
      <c r="AW363" s="1">
        <f t="shared" ca="1" si="25"/>
        <v>3</v>
      </c>
      <c r="AX363" s="1" t="s">
        <v>445</v>
      </c>
      <c r="BA363" s="184"/>
    </row>
    <row r="364" spans="1:87" hidden="1">
      <c r="A364" s="4">
        <v>363</v>
      </c>
      <c r="B364" s="171">
        <v>23153</v>
      </c>
      <c r="C364" s="1" t="s">
        <v>309</v>
      </c>
      <c r="D364" s="1" t="s">
        <v>418</v>
      </c>
      <c r="E364" s="1">
        <f t="shared" ca="1" si="26"/>
        <v>62</v>
      </c>
      <c r="F364" s="1">
        <f t="shared" si="24"/>
        <v>57</v>
      </c>
      <c r="G364" s="1" t="s">
        <v>419</v>
      </c>
      <c r="H364" s="1" t="s">
        <v>13</v>
      </c>
      <c r="I364" s="1" t="s">
        <v>14</v>
      </c>
      <c r="J364" s="1">
        <v>165</v>
      </c>
      <c r="K364" s="1">
        <v>61</v>
      </c>
      <c r="M364" s="1">
        <v>0</v>
      </c>
      <c r="N364" s="1">
        <v>0</v>
      </c>
      <c r="O364" s="1">
        <v>0</v>
      </c>
      <c r="P364" s="1">
        <v>89</v>
      </c>
      <c r="Q364" s="1">
        <v>75</v>
      </c>
      <c r="R364" s="1">
        <v>328</v>
      </c>
      <c r="S364" s="1">
        <v>8</v>
      </c>
      <c r="T364" s="1">
        <v>88</v>
      </c>
      <c r="U364" s="1">
        <v>162</v>
      </c>
      <c r="V364" s="1">
        <v>33</v>
      </c>
      <c r="W364" s="1" t="s">
        <v>359</v>
      </c>
      <c r="Y364" s="1" t="s">
        <v>374</v>
      </c>
      <c r="Z364" s="1">
        <v>1</v>
      </c>
      <c r="AA364" s="1">
        <v>0</v>
      </c>
      <c r="AL364" s="1" t="s">
        <v>438</v>
      </c>
      <c r="AM364" s="1" t="s">
        <v>84</v>
      </c>
      <c r="AR364" s="1" t="s">
        <v>438</v>
      </c>
      <c r="AV364" s="168">
        <v>44131</v>
      </c>
      <c r="AW364" s="1">
        <f t="shared" ca="1" si="25"/>
        <v>4</v>
      </c>
      <c r="AX364" s="1" t="s">
        <v>445</v>
      </c>
      <c r="AY364" s="1">
        <v>3.68</v>
      </c>
      <c r="BA364" s="184" t="s">
        <v>356</v>
      </c>
      <c r="BB364" s="1" t="s">
        <v>446</v>
      </c>
      <c r="BC364" s="1" t="s">
        <v>480</v>
      </c>
      <c r="BD364" s="1">
        <v>1</v>
      </c>
    </row>
    <row r="365" spans="1:87" ht="15.6" hidden="1">
      <c r="A365" s="4">
        <v>364</v>
      </c>
      <c r="B365" s="171">
        <v>42690</v>
      </c>
      <c r="C365" s="1" t="s">
        <v>309</v>
      </c>
      <c r="D365" s="1" t="s">
        <v>170</v>
      </c>
      <c r="E365" s="1">
        <f t="shared" ca="1" si="26"/>
        <v>8</v>
      </c>
      <c r="F365" s="1">
        <f t="shared" si="24"/>
        <v>8</v>
      </c>
      <c r="G365" s="1" t="s">
        <v>6</v>
      </c>
      <c r="H365" s="1" t="s">
        <v>12</v>
      </c>
      <c r="I365" s="1" t="s">
        <v>12</v>
      </c>
      <c r="J365" s="1">
        <v>138</v>
      </c>
      <c r="K365" s="1">
        <v>38</v>
      </c>
      <c r="M365" s="1">
        <v>0</v>
      </c>
      <c r="N365" s="1">
        <v>0</v>
      </c>
      <c r="O365" s="1">
        <v>0</v>
      </c>
      <c r="P365" s="1">
        <v>29</v>
      </c>
      <c r="Q365" s="1">
        <v>25</v>
      </c>
      <c r="R365" s="1">
        <v>13</v>
      </c>
      <c r="S365" s="1">
        <v>534</v>
      </c>
      <c r="T365" s="1">
        <v>77</v>
      </c>
      <c r="U365" s="1">
        <v>333</v>
      </c>
      <c r="W365" s="1" t="s">
        <v>359</v>
      </c>
      <c r="X365" s="1">
        <v>1</v>
      </c>
      <c r="Y365" s="1" t="s">
        <v>375</v>
      </c>
      <c r="Z365" s="1">
        <v>0</v>
      </c>
      <c r="AA365" s="1">
        <v>0</v>
      </c>
      <c r="AV365" s="214">
        <v>45754</v>
      </c>
      <c r="AW365" s="1">
        <f t="shared" ca="1" si="25"/>
        <v>0</v>
      </c>
      <c r="AX365" s="1" t="s">
        <v>445</v>
      </c>
      <c r="AY365" s="1">
        <v>3.5</v>
      </c>
      <c r="BA365" s="184" t="s">
        <v>356</v>
      </c>
      <c r="BB365" s="1" t="s">
        <v>34</v>
      </c>
    </row>
    <row r="366" spans="1:87" ht="15.6" hidden="1">
      <c r="A366" s="4">
        <v>365</v>
      </c>
      <c r="B366" s="171">
        <v>42287</v>
      </c>
      <c r="C366" s="1" t="s">
        <v>309</v>
      </c>
      <c r="D366" s="1" t="s">
        <v>170</v>
      </c>
      <c r="E366" s="1">
        <f t="shared" ca="1" si="26"/>
        <v>9</v>
      </c>
      <c r="F366" s="1">
        <f t="shared" si="24"/>
        <v>9</v>
      </c>
      <c r="G366" s="1" t="s">
        <v>6</v>
      </c>
      <c r="H366" s="1" t="s">
        <v>12</v>
      </c>
      <c r="I366" s="1" t="s">
        <v>12</v>
      </c>
      <c r="J366" s="1">
        <v>140</v>
      </c>
      <c r="K366" s="1">
        <v>34</v>
      </c>
      <c r="M366" s="1">
        <v>0</v>
      </c>
      <c r="N366" s="1">
        <v>0</v>
      </c>
      <c r="O366" s="1">
        <v>0</v>
      </c>
      <c r="P366" s="1">
        <v>36</v>
      </c>
      <c r="Q366" s="1">
        <v>41</v>
      </c>
      <c r="R366" s="1">
        <v>15</v>
      </c>
      <c r="S366" s="1">
        <v>8</v>
      </c>
      <c r="T366" s="1">
        <v>85</v>
      </c>
      <c r="U366" s="1">
        <v>249</v>
      </c>
      <c r="W366" s="1" t="s">
        <v>359</v>
      </c>
      <c r="X366" s="1">
        <v>1</v>
      </c>
      <c r="Y366" s="1">
        <v>8.58</v>
      </c>
      <c r="Z366" s="1">
        <v>0</v>
      </c>
      <c r="AA366" s="1">
        <v>0</v>
      </c>
      <c r="AV366" s="214">
        <v>45754</v>
      </c>
      <c r="AW366" s="1">
        <f t="shared" ca="1" si="25"/>
        <v>0</v>
      </c>
      <c r="AX366" s="1" t="s">
        <v>445</v>
      </c>
      <c r="AY366" s="215"/>
      <c r="BA366" s="184" t="s">
        <v>356</v>
      </c>
      <c r="BB366" s="1" t="s">
        <v>34</v>
      </c>
    </row>
    <row r="367" spans="1:87" ht="15.6" hidden="1">
      <c r="A367" s="4">
        <v>366</v>
      </c>
      <c r="B367" s="171">
        <v>30521</v>
      </c>
      <c r="C367" s="1" t="s">
        <v>309</v>
      </c>
      <c r="D367" s="1" t="s">
        <v>170</v>
      </c>
      <c r="E367" s="1">
        <f t="shared" ca="1" si="26"/>
        <v>41</v>
      </c>
      <c r="F367" s="1">
        <f t="shared" si="24"/>
        <v>36</v>
      </c>
      <c r="G367" s="1" t="s">
        <v>5</v>
      </c>
      <c r="H367" s="1" t="s">
        <v>14</v>
      </c>
      <c r="I367" s="1" t="s">
        <v>14</v>
      </c>
      <c r="J367" s="1">
        <v>172</v>
      </c>
      <c r="K367" s="1">
        <v>63</v>
      </c>
      <c r="M367" s="1">
        <v>0</v>
      </c>
      <c r="N367" s="1">
        <v>1</v>
      </c>
      <c r="O367" s="1">
        <v>0</v>
      </c>
      <c r="P367" s="1">
        <v>19</v>
      </c>
      <c r="Q367" s="1">
        <v>18</v>
      </c>
      <c r="R367" s="1">
        <v>120</v>
      </c>
      <c r="S367" s="1">
        <v>8</v>
      </c>
      <c r="T367" s="1">
        <v>83</v>
      </c>
      <c r="U367" s="1">
        <v>656</v>
      </c>
      <c r="V367" s="1">
        <v>34</v>
      </c>
      <c r="W367" s="1" t="s">
        <v>359</v>
      </c>
      <c r="AV367" s="168">
        <v>43719</v>
      </c>
      <c r="AW367" s="1">
        <f t="shared" ca="1" si="25"/>
        <v>5</v>
      </c>
      <c r="AX367" s="1" t="s">
        <v>63</v>
      </c>
      <c r="AY367" s="216" t="s">
        <v>368</v>
      </c>
      <c r="BA367" s="184" t="s">
        <v>356</v>
      </c>
      <c r="BB367" s="1" t="s">
        <v>34</v>
      </c>
    </row>
    <row r="368" spans="1:87" hidden="1">
      <c r="A368" s="4">
        <v>367</v>
      </c>
      <c r="B368" s="171">
        <v>36638</v>
      </c>
      <c r="C368" s="1" t="s">
        <v>309</v>
      </c>
      <c r="D368" s="1" t="s">
        <v>418</v>
      </c>
      <c r="E368" s="1">
        <f t="shared" ca="1" si="26"/>
        <v>25</v>
      </c>
      <c r="F368" s="1">
        <f t="shared" si="24"/>
        <v>23</v>
      </c>
      <c r="G368" s="1" t="s">
        <v>8</v>
      </c>
      <c r="H368" s="1" t="s">
        <v>12</v>
      </c>
      <c r="I368" s="1" t="s">
        <v>12</v>
      </c>
      <c r="J368" s="1">
        <v>180</v>
      </c>
      <c r="M368" s="1">
        <v>0</v>
      </c>
      <c r="N368" s="1">
        <v>0</v>
      </c>
      <c r="O368" s="1">
        <v>0</v>
      </c>
      <c r="P368" s="1">
        <v>80</v>
      </c>
      <c r="Q368" s="1">
        <v>126</v>
      </c>
      <c r="R368" s="1">
        <v>51</v>
      </c>
      <c r="S368" s="1">
        <v>19</v>
      </c>
      <c r="T368" s="1">
        <v>65</v>
      </c>
      <c r="U368" s="1">
        <v>172</v>
      </c>
      <c r="W368" s="1" t="s">
        <v>359</v>
      </c>
      <c r="X368" s="1">
        <v>0</v>
      </c>
      <c r="Y368" s="1">
        <v>0</v>
      </c>
      <c r="Z368" s="1">
        <v>0</v>
      </c>
      <c r="AA368" s="1">
        <v>1</v>
      </c>
      <c r="AC368" s="1" t="s">
        <v>91</v>
      </c>
      <c r="AL368" s="1" t="s">
        <v>437</v>
      </c>
      <c r="AV368" s="168">
        <v>45250</v>
      </c>
      <c r="AW368" s="1">
        <f t="shared" ca="1" si="25"/>
        <v>1</v>
      </c>
      <c r="AX368" s="1" t="s">
        <v>445</v>
      </c>
      <c r="AY368" s="207" t="s">
        <v>157</v>
      </c>
      <c r="BA368" s="184" t="s">
        <v>356</v>
      </c>
      <c r="BB368" s="1" t="s">
        <v>34</v>
      </c>
    </row>
    <row r="369" spans="1:53" hidden="1">
      <c r="A369" s="4">
        <v>368</v>
      </c>
      <c r="B369" s="171">
        <v>20088</v>
      </c>
      <c r="C369" s="188" t="s">
        <v>247</v>
      </c>
      <c r="D369" s="1" t="s">
        <v>418</v>
      </c>
      <c r="E369" s="1">
        <f t="shared" ca="1" si="26"/>
        <v>70</v>
      </c>
      <c r="F369" s="1">
        <f t="shared" si="24"/>
        <v>68</v>
      </c>
      <c r="G369" s="1" t="s">
        <v>5</v>
      </c>
      <c r="AV369" s="168">
        <v>44986</v>
      </c>
      <c r="AW369" s="1">
        <f t="shared" ca="1" si="25"/>
        <v>2</v>
      </c>
      <c r="AX369" s="1" t="s">
        <v>63</v>
      </c>
      <c r="BA369" s="184"/>
    </row>
  </sheetData>
  <autoFilter ref="C1:C369">
    <filterColumn colId="0">
      <filters>
        <filter val="CHU  Lille"/>
        <filter val="CHU Lille"/>
        <filter val="lille Catho"/>
      </filters>
    </filterColumn>
  </autoFilter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1048576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pane ySplit="1" topLeftCell="A11" activePane="bottomLeft" state="frozen"/>
      <selection pane="bottomLeft" activeCell="D21" sqref="D21"/>
    </sheetView>
  </sheetViews>
  <sheetFormatPr baseColWidth="10" defaultColWidth="8.88671875" defaultRowHeight="14.4"/>
  <cols>
    <col min="1" max="1" width="36" style="1" customWidth="1"/>
    <col min="2" max="2" width="33" style="1" customWidth="1"/>
    <col min="3" max="3" width="79.77734375" style="50" customWidth="1"/>
    <col min="4" max="4" width="54.88671875" customWidth="1"/>
  </cols>
  <sheetData>
    <row r="1" spans="1:4" s="150" customFormat="1">
      <c r="A1" s="151" t="s">
        <v>531</v>
      </c>
      <c r="B1" s="151" t="s">
        <v>412</v>
      </c>
      <c r="C1" s="154" t="s">
        <v>546</v>
      </c>
      <c r="D1" s="151" t="s">
        <v>414</v>
      </c>
    </row>
    <row r="2" spans="1:4">
      <c r="A2" s="219" t="s">
        <v>4</v>
      </c>
      <c r="B2" s="9" t="s">
        <v>475</v>
      </c>
      <c r="C2" s="13"/>
      <c r="D2" s="13"/>
    </row>
    <row r="3" spans="1:4">
      <c r="A3" s="220"/>
      <c r="B3" s="9" t="s">
        <v>474</v>
      </c>
      <c r="C3" s="13" t="s">
        <v>553</v>
      </c>
      <c r="D3" s="13"/>
    </row>
    <row r="4" spans="1:4">
      <c r="A4" s="220"/>
      <c r="B4" s="9" t="s">
        <v>463</v>
      </c>
      <c r="C4" s="13" t="s">
        <v>556</v>
      </c>
      <c r="D4" s="13"/>
    </row>
    <row r="5" spans="1:4">
      <c r="A5" s="220"/>
      <c r="B5" s="9" t="s">
        <v>423</v>
      </c>
      <c r="C5" s="13" t="s">
        <v>557</v>
      </c>
      <c r="D5" s="13"/>
    </row>
    <row r="6" spans="1:4">
      <c r="A6" s="220"/>
      <c r="B6" s="9" t="s">
        <v>473</v>
      </c>
      <c r="C6" s="13" t="s">
        <v>417</v>
      </c>
      <c r="D6" s="13"/>
    </row>
    <row r="7" spans="1:4">
      <c r="A7" s="220"/>
      <c r="B7" s="9" t="s">
        <v>462</v>
      </c>
      <c r="C7" s="13" t="s">
        <v>417</v>
      </c>
      <c r="D7" s="13"/>
    </row>
    <row r="8" spans="1:4">
      <c r="A8" s="220"/>
      <c r="B8" s="9" t="s">
        <v>420</v>
      </c>
      <c r="C8" s="13"/>
      <c r="D8" s="13" t="s">
        <v>558</v>
      </c>
    </row>
    <row r="9" spans="1:4">
      <c r="A9" s="220"/>
      <c r="B9" s="9" t="s">
        <v>421</v>
      </c>
      <c r="C9" s="13" t="s">
        <v>547</v>
      </c>
      <c r="D9" s="13"/>
    </row>
    <row r="10" spans="1:4">
      <c r="A10" s="221"/>
      <c r="B10" s="9" t="s">
        <v>422</v>
      </c>
      <c r="C10" s="13" t="s">
        <v>547</v>
      </c>
      <c r="D10" s="13"/>
    </row>
    <row r="11" spans="1:4">
      <c r="A11" s="222" t="s">
        <v>19</v>
      </c>
      <c r="B11" s="2" t="s">
        <v>424</v>
      </c>
      <c r="C11" s="14" t="s">
        <v>532</v>
      </c>
      <c r="D11" s="14"/>
    </row>
    <row r="12" spans="1:4">
      <c r="A12" s="223"/>
      <c r="B12" s="2" t="s">
        <v>425</v>
      </c>
      <c r="C12" s="14" t="s">
        <v>533</v>
      </c>
      <c r="D12" s="14"/>
    </row>
    <row r="13" spans="1:4">
      <c r="A13" s="223"/>
      <c r="B13" s="2" t="s">
        <v>426</v>
      </c>
      <c r="C13" s="14" t="s">
        <v>534</v>
      </c>
      <c r="D13" s="14"/>
    </row>
    <row r="14" spans="1:4">
      <c r="A14" s="223"/>
      <c r="B14" s="2" t="s">
        <v>427</v>
      </c>
      <c r="C14" s="14" t="s">
        <v>540</v>
      </c>
      <c r="D14" s="14" t="s">
        <v>571</v>
      </c>
    </row>
    <row r="15" spans="1:4">
      <c r="A15" s="223"/>
      <c r="B15" s="5" t="s">
        <v>428</v>
      </c>
      <c r="C15" s="14" t="s">
        <v>540</v>
      </c>
      <c r="D15" s="14" t="s">
        <v>571</v>
      </c>
    </row>
    <row r="16" spans="1:4">
      <c r="A16" s="223"/>
      <c r="B16" s="2" t="s">
        <v>434</v>
      </c>
      <c r="C16" s="14" t="s">
        <v>540</v>
      </c>
      <c r="D16" s="14" t="s">
        <v>571</v>
      </c>
    </row>
    <row r="17" spans="1:4">
      <c r="A17" s="223"/>
      <c r="B17" s="2" t="s">
        <v>429</v>
      </c>
      <c r="C17" s="14" t="s">
        <v>535</v>
      </c>
      <c r="D17" s="14" t="s">
        <v>571</v>
      </c>
    </row>
    <row r="18" spans="1:4">
      <c r="A18" s="223"/>
      <c r="B18" s="2" t="s">
        <v>430</v>
      </c>
      <c r="C18" s="14" t="s">
        <v>535</v>
      </c>
      <c r="D18" s="14" t="s">
        <v>571</v>
      </c>
    </row>
    <row r="19" spans="1:4">
      <c r="A19" s="223"/>
      <c r="B19" s="2" t="s">
        <v>431</v>
      </c>
      <c r="C19" s="14" t="s">
        <v>535</v>
      </c>
      <c r="D19" s="14" t="s">
        <v>571</v>
      </c>
    </row>
    <row r="20" spans="1:4">
      <c r="A20" s="223"/>
      <c r="B20" s="2" t="s">
        <v>432</v>
      </c>
      <c r="C20" s="14" t="s">
        <v>536</v>
      </c>
      <c r="D20" s="14" t="s">
        <v>571</v>
      </c>
    </row>
    <row r="21" spans="1:4">
      <c r="A21" s="223"/>
      <c r="B21" s="2" t="s">
        <v>433</v>
      </c>
      <c r="C21" s="14" t="s">
        <v>537</v>
      </c>
      <c r="D21" s="14" t="s">
        <v>571</v>
      </c>
    </row>
    <row r="22" spans="1:4">
      <c r="A22" s="223"/>
      <c r="B22" s="2" t="s">
        <v>435</v>
      </c>
      <c r="C22" s="14" t="s">
        <v>538</v>
      </c>
      <c r="D22" s="14" t="s">
        <v>571</v>
      </c>
    </row>
    <row r="23" spans="1:4">
      <c r="A23" s="223"/>
      <c r="B23" s="2" t="s">
        <v>436</v>
      </c>
      <c r="C23" s="14" t="s">
        <v>538</v>
      </c>
      <c r="D23" s="14" t="s">
        <v>571</v>
      </c>
    </row>
    <row r="24" spans="1:4">
      <c r="A24" s="223"/>
      <c r="B24" s="2" t="s">
        <v>476</v>
      </c>
      <c r="C24" s="161" t="s">
        <v>539</v>
      </c>
      <c r="D24" s="160" t="s">
        <v>567</v>
      </c>
    </row>
    <row r="25" spans="1:4">
      <c r="A25" s="223"/>
      <c r="B25" s="2" t="s">
        <v>477</v>
      </c>
      <c r="C25" s="14" t="s">
        <v>540</v>
      </c>
      <c r="D25" s="160" t="s">
        <v>567</v>
      </c>
    </row>
    <row r="26" spans="1:4">
      <c r="A26" s="223"/>
      <c r="B26" s="2" t="s">
        <v>478</v>
      </c>
      <c r="C26" s="14" t="s">
        <v>541</v>
      </c>
      <c r="D26" s="160" t="s">
        <v>567</v>
      </c>
    </row>
    <row r="27" spans="1:4">
      <c r="A27" s="223"/>
      <c r="B27" s="2" t="s">
        <v>479</v>
      </c>
      <c r="C27" s="14" t="s">
        <v>540</v>
      </c>
      <c r="D27" s="14" t="s">
        <v>548</v>
      </c>
    </row>
    <row r="28" spans="1:4">
      <c r="A28" s="224"/>
      <c r="B28" s="2" t="s">
        <v>569</v>
      </c>
      <c r="C28" s="14" t="s">
        <v>540</v>
      </c>
      <c r="D28" s="14" t="s">
        <v>548</v>
      </c>
    </row>
    <row r="29" spans="1:4">
      <c r="A29" s="225" t="s">
        <v>551</v>
      </c>
      <c r="B29" s="8" t="s">
        <v>491</v>
      </c>
      <c r="C29" s="155"/>
      <c r="D29" s="160" t="s">
        <v>549</v>
      </c>
    </row>
    <row r="30" spans="1:4">
      <c r="A30" s="226"/>
      <c r="B30" s="8" t="s">
        <v>492</v>
      </c>
      <c r="C30" s="155"/>
      <c r="D30" s="160" t="s">
        <v>549</v>
      </c>
    </row>
    <row r="31" spans="1:4">
      <c r="A31" s="226"/>
      <c r="B31" s="8" t="s">
        <v>493</v>
      </c>
      <c r="C31" s="155"/>
      <c r="D31" s="160" t="s">
        <v>549</v>
      </c>
    </row>
    <row r="32" spans="1:4">
      <c r="A32" s="226"/>
      <c r="B32" s="8" t="s">
        <v>494</v>
      </c>
      <c r="C32" s="155"/>
      <c r="D32" s="160" t="s">
        <v>549</v>
      </c>
    </row>
    <row r="33" spans="1:4">
      <c r="A33" s="226"/>
      <c r="B33" s="8" t="s">
        <v>495</v>
      </c>
      <c r="C33" s="155"/>
      <c r="D33" s="160" t="s">
        <v>549</v>
      </c>
    </row>
    <row r="34" spans="1:4">
      <c r="A34" s="226"/>
      <c r="B34" s="8" t="s">
        <v>496</v>
      </c>
      <c r="C34" s="155"/>
      <c r="D34" s="160" t="s">
        <v>549</v>
      </c>
    </row>
    <row r="35" spans="1:4">
      <c r="A35" s="226"/>
      <c r="B35" s="8" t="s">
        <v>497</v>
      </c>
      <c r="C35" s="155"/>
      <c r="D35" s="160" t="s">
        <v>549</v>
      </c>
    </row>
    <row r="36" spans="1:4">
      <c r="A36" s="226"/>
      <c r="B36" s="8" t="s">
        <v>498</v>
      </c>
      <c r="C36" s="155"/>
      <c r="D36" s="160" t="s">
        <v>549</v>
      </c>
    </row>
    <row r="37" spans="1:4">
      <c r="A37" s="226"/>
      <c r="B37" s="8" t="s">
        <v>499</v>
      </c>
      <c r="C37" s="155"/>
      <c r="D37" s="160" t="s">
        <v>549</v>
      </c>
    </row>
    <row r="38" spans="1:4">
      <c r="A38" s="226"/>
      <c r="B38" s="8" t="s">
        <v>500</v>
      </c>
      <c r="C38" s="155"/>
      <c r="D38" s="160" t="s">
        <v>549</v>
      </c>
    </row>
    <row r="39" spans="1:4">
      <c r="A39" s="226"/>
      <c r="B39" s="8" t="s">
        <v>454</v>
      </c>
      <c r="C39" s="155" t="s">
        <v>550</v>
      </c>
      <c r="D39" s="155"/>
    </row>
    <row r="40" spans="1:4">
      <c r="A40" s="226"/>
      <c r="B40" s="8" t="s">
        <v>455</v>
      </c>
      <c r="C40" s="155" t="s">
        <v>550</v>
      </c>
      <c r="D40" s="155"/>
    </row>
    <row r="41" spans="1:4">
      <c r="A41" s="226"/>
      <c r="B41" s="8" t="s">
        <v>456</v>
      </c>
      <c r="C41" s="155" t="s">
        <v>550</v>
      </c>
      <c r="D41" s="155"/>
    </row>
    <row r="42" spans="1:4">
      <c r="A42" s="226"/>
      <c r="B42" s="8" t="s">
        <v>464</v>
      </c>
      <c r="C42" s="155" t="s">
        <v>550</v>
      </c>
      <c r="D42" s="155"/>
    </row>
    <row r="43" spans="1:4">
      <c r="A43" s="226"/>
      <c r="B43" s="8" t="s">
        <v>457</v>
      </c>
      <c r="C43" s="155" t="s">
        <v>550</v>
      </c>
      <c r="D43" s="155"/>
    </row>
    <row r="44" spans="1:4">
      <c r="A44" s="226"/>
      <c r="B44" s="8" t="s">
        <v>458</v>
      </c>
      <c r="C44" s="155" t="s">
        <v>550</v>
      </c>
      <c r="D44" s="155"/>
    </row>
    <row r="45" spans="1:4">
      <c r="A45" s="226"/>
      <c r="B45" s="8" t="s">
        <v>459</v>
      </c>
      <c r="C45" s="155" t="s">
        <v>550</v>
      </c>
      <c r="D45" s="155"/>
    </row>
    <row r="46" spans="1:4">
      <c r="A46" s="226"/>
      <c r="B46" s="8" t="s">
        <v>460</v>
      </c>
      <c r="C46" s="155" t="s">
        <v>550</v>
      </c>
      <c r="D46" s="155"/>
    </row>
    <row r="47" spans="1:4">
      <c r="A47" s="226"/>
      <c r="B47" s="8" t="s">
        <v>461</v>
      </c>
      <c r="C47" s="155" t="s">
        <v>550</v>
      </c>
      <c r="D47" s="155"/>
    </row>
    <row r="48" spans="1:4">
      <c r="A48" s="226"/>
      <c r="B48" s="8" t="s">
        <v>441</v>
      </c>
      <c r="C48" s="155" t="s">
        <v>550</v>
      </c>
      <c r="D48" s="155"/>
    </row>
    <row r="49" spans="1:4" ht="15" thickBot="1">
      <c r="A49" s="227" t="s">
        <v>552</v>
      </c>
      <c r="B49" s="146" t="s">
        <v>452</v>
      </c>
      <c r="C49" s="156" t="s">
        <v>553</v>
      </c>
      <c r="D49" s="146" t="s">
        <v>570</v>
      </c>
    </row>
    <row r="50" spans="1:4" ht="15.6" thickTop="1" thickBot="1">
      <c r="A50" s="227"/>
      <c r="B50" s="146" t="s">
        <v>453</v>
      </c>
      <c r="C50" s="156" t="s">
        <v>417</v>
      </c>
      <c r="D50" s="146" t="s">
        <v>542</v>
      </c>
    </row>
    <row r="51" spans="1:4" ht="15.6" thickTop="1" thickBot="1">
      <c r="A51" s="227"/>
      <c r="B51" s="147" t="s">
        <v>443</v>
      </c>
      <c r="C51" s="156" t="s">
        <v>555</v>
      </c>
      <c r="D51" s="146" t="s">
        <v>543</v>
      </c>
    </row>
    <row r="52" spans="1:4" ht="15.6" thickTop="1" thickBot="1">
      <c r="A52" s="227"/>
      <c r="B52" s="146" t="s">
        <v>451</v>
      </c>
      <c r="C52" s="156" t="s">
        <v>554</v>
      </c>
      <c r="D52" s="146" t="s">
        <v>544</v>
      </c>
    </row>
    <row r="53" spans="1:4" ht="15.6" thickTop="1" thickBot="1">
      <c r="A53" s="227"/>
      <c r="B53" s="6" t="s">
        <v>449</v>
      </c>
      <c r="C53" s="156" t="s">
        <v>540</v>
      </c>
      <c r="D53" s="146" t="s">
        <v>545</v>
      </c>
    </row>
    <row r="54" spans="1:4" ht="15.6" thickTop="1" thickBot="1">
      <c r="A54" s="149" t="s">
        <v>66</v>
      </c>
      <c r="B54" s="81" t="s">
        <v>442</v>
      </c>
      <c r="C54" s="157" t="s">
        <v>559</v>
      </c>
      <c r="D54" s="157"/>
    </row>
    <row r="55" spans="1:4">
      <c r="A55" s="217" t="s">
        <v>561</v>
      </c>
      <c r="B55" s="7" t="s">
        <v>501</v>
      </c>
      <c r="C55" s="158" t="s">
        <v>560</v>
      </c>
      <c r="D55" s="152"/>
    </row>
    <row r="56" spans="1:4">
      <c r="A56" s="218"/>
      <c r="B56" s="7" t="s">
        <v>502</v>
      </c>
      <c r="C56" s="158" t="s">
        <v>565</v>
      </c>
      <c r="D56" s="152" t="s">
        <v>564</v>
      </c>
    </row>
    <row r="57" spans="1:4">
      <c r="A57" s="218"/>
      <c r="B57" s="7" t="s">
        <v>503</v>
      </c>
      <c r="C57" s="158" t="s">
        <v>540</v>
      </c>
      <c r="D57" s="152"/>
    </row>
    <row r="58" spans="1:4">
      <c r="A58" s="218"/>
      <c r="B58" s="7" t="s">
        <v>504</v>
      </c>
      <c r="C58" s="158" t="s">
        <v>540</v>
      </c>
      <c r="D58" s="152"/>
    </row>
    <row r="59" spans="1:4">
      <c r="A59" s="218"/>
      <c r="B59" s="7" t="s">
        <v>505</v>
      </c>
      <c r="C59" s="158" t="s">
        <v>540</v>
      </c>
      <c r="D59" s="152"/>
    </row>
    <row r="60" spans="1:4">
      <c r="A60" s="218"/>
      <c r="B60" s="153" t="s">
        <v>506</v>
      </c>
      <c r="C60" s="158" t="s">
        <v>540</v>
      </c>
      <c r="D60" s="152"/>
    </row>
    <row r="61" spans="1:4">
      <c r="A61" s="218"/>
      <c r="B61" s="7" t="s">
        <v>507</v>
      </c>
      <c r="C61" s="158" t="s">
        <v>540</v>
      </c>
      <c r="D61" s="152"/>
    </row>
    <row r="62" spans="1:4">
      <c r="A62" s="218"/>
      <c r="B62" s="7" t="s">
        <v>508</v>
      </c>
      <c r="C62" s="158" t="s">
        <v>540</v>
      </c>
      <c r="D62" s="152"/>
    </row>
    <row r="63" spans="1:4">
      <c r="A63" s="218"/>
      <c r="B63" s="7" t="s">
        <v>509</v>
      </c>
      <c r="C63" s="158" t="s">
        <v>540</v>
      </c>
      <c r="D63" s="152"/>
    </row>
    <row r="64" spans="1:4" ht="29.4" thickBot="1">
      <c r="A64" s="218"/>
      <c r="B64" s="7" t="s">
        <v>510</v>
      </c>
      <c r="C64" s="158" t="s">
        <v>566</v>
      </c>
      <c r="D64" s="152"/>
    </row>
    <row r="65" spans="1:4">
      <c r="A65" s="217" t="s">
        <v>562</v>
      </c>
      <c r="B65" s="7" t="s">
        <v>511</v>
      </c>
      <c r="C65" s="158" t="s">
        <v>560</v>
      </c>
      <c r="D65" s="152"/>
    </row>
    <row r="66" spans="1:4">
      <c r="A66" s="218"/>
      <c r="B66" s="7" t="s">
        <v>512</v>
      </c>
      <c r="C66" s="158" t="s">
        <v>565</v>
      </c>
      <c r="D66" s="152" t="s">
        <v>564</v>
      </c>
    </row>
    <row r="67" spans="1:4">
      <c r="A67" s="218"/>
      <c r="B67" s="7" t="s">
        <v>513</v>
      </c>
      <c r="C67" s="158" t="s">
        <v>540</v>
      </c>
      <c r="D67" s="152"/>
    </row>
    <row r="68" spans="1:4">
      <c r="A68" s="218"/>
      <c r="B68" s="7" t="s">
        <v>514</v>
      </c>
      <c r="C68" s="158" t="s">
        <v>540</v>
      </c>
      <c r="D68" s="152"/>
    </row>
    <row r="69" spans="1:4">
      <c r="A69" s="218"/>
      <c r="B69" s="7" t="s">
        <v>515</v>
      </c>
      <c r="C69" s="158" t="s">
        <v>540</v>
      </c>
      <c r="D69" s="152"/>
    </row>
    <row r="70" spans="1:4">
      <c r="A70" s="218"/>
      <c r="B70" s="7" t="s">
        <v>516</v>
      </c>
      <c r="C70" s="158" t="s">
        <v>540</v>
      </c>
      <c r="D70" s="152"/>
    </row>
    <row r="71" spans="1:4">
      <c r="A71" s="218"/>
      <c r="B71" s="7" t="s">
        <v>517</v>
      </c>
      <c r="C71" s="158" t="s">
        <v>540</v>
      </c>
      <c r="D71" s="152"/>
    </row>
    <row r="72" spans="1:4">
      <c r="A72" s="218"/>
      <c r="B72" s="7" t="s">
        <v>518</v>
      </c>
      <c r="C72" s="158" t="s">
        <v>540</v>
      </c>
      <c r="D72" s="152"/>
    </row>
    <row r="73" spans="1:4">
      <c r="A73" s="218"/>
      <c r="B73" s="7" t="s">
        <v>519</v>
      </c>
      <c r="C73" s="158" t="s">
        <v>540</v>
      </c>
      <c r="D73" s="152"/>
    </row>
    <row r="74" spans="1:4" ht="29.4" thickBot="1">
      <c r="A74" s="218"/>
      <c r="B74" s="7" t="s">
        <v>520</v>
      </c>
      <c r="C74" s="158" t="s">
        <v>566</v>
      </c>
      <c r="D74" s="152"/>
    </row>
    <row r="75" spans="1:4">
      <c r="A75" s="217" t="s">
        <v>563</v>
      </c>
      <c r="B75" s="7" t="s">
        <v>521</v>
      </c>
      <c r="C75" s="158" t="s">
        <v>560</v>
      </c>
      <c r="D75" s="152"/>
    </row>
    <row r="76" spans="1:4">
      <c r="A76" s="218"/>
      <c r="B76" s="7" t="s">
        <v>522</v>
      </c>
      <c r="C76" s="158" t="s">
        <v>565</v>
      </c>
      <c r="D76" s="152" t="s">
        <v>564</v>
      </c>
    </row>
    <row r="77" spans="1:4">
      <c r="A77" s="218"/>
      <c r="B77" s="7" t="s">
        <v>523</v>
      </c>
      <c r="C77" s="158" t="s">
        <v>540</v>
      </c>
      <c r="D77" s="152"/>
    </row>
    <row r="78" spans="1:4">
      <c r="A78" s="218"/>
      <c r="B78" s="7" t="s">
        <v>524</v>
      </c>
      <c r="C78" s="158" t="s">
        <v>540</v>
      </c>
      <c r="D78" s="152"/>
    </row>
    <row r="79" spans="1:4">
      <c r="A79" s="218"/>
      <c r="B79" s="7" t="s">
        <v>525</v>
      </c>
      <c r="C79" s="158" t="s">
        <v>540</v>
      </c>
      <c r="D79" s="152"/>
    </row>
    <row r="80" spans="1:4">
      <c r="A80" s="218"/>
      <c r="B80" s="7" t="s">
        <v>526</v>
      </c>
      <c r="C80" s="158" t="s">
        <v>540</v>
      </c>
      <c r="D80" s="152"/>
    </row>
    <row r="81" spans="1:4">
      <c r="A81" s="218"/>
      <c r="B81" s="7" t="s">
        <v>527</v>
      </c>
      <c r="C81" s="158" t="s">
        <v>540</v>
      </c>
      <c r="D81" s="152"/>
    </row>
    <row r="82" spans="1:4">
      <c r="A82" s="218"/>
      <c r="B82" s="7" t="s">
        <v>528</v>
      </c>
      <c r="C82" s="158" t="s">
        <v>540</v>
      </c>
      <c r="D82" s="152"/>
    </row>
    <row r="83" spans="1:4">
      <c r="A83" s="218"/>
      <c r="B83" s="7" t="s">
        <v>529</v>
      </c>
      <c r="C83" s="158" t="s">
        <v>540</v>
      </c>
      <c r="D83" s="152"/>
    </row>
    <row r="84" spans="1:4" ht="28.8">
      <c r="A84" s="218"/>
      <c r="B84" s="7" t="s">
        <v>530</v>
      </c>
      <c r="C84" s="158" t="s">
        <v>566</v>
      </c>
      <c r="D84" s="152"/>
    </row>
    <row r="85" spans="1:4">
      <c r="B85" s="148" t="s">
        <v>485</v>
      </c>
      <c r="C85" s="148" t="s">
        <v>568</v>
      </c>
      <c r="D85" s="159"/>
    </row>
    <row r="86" spans="1:4">
      <c r="B86" s="148" t="s">
        <v>488</v>
      </c>
      <c r="C86" s="148" t="s">
        <v>540</v>
      </c>
      <c r="D86" s="159"/>
    </row>
    <row r="87" spans="1:4">
      <c r="B87" s="148" t="s">
        <v>489</v>
      </c>
      <c r="C87" s="148" t="s">
        <v>540</v>
      </c>
      <c r="D87" s="159"/>
    </row>
  </sheetData>
  <mergeCells count="7">
    <mergeCell ref="A75:A84"/>
    <mergeCell ref="A2:A10"/>
    <mergeCell ref="A11:A28"/>
    <mergeCell ref="A29:A48"/>
    <mergeCell ref="A49:A53"/>
    <mergeCell ref="A55:A64"/>
    <mergeCell ref="A65:A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E164"/>
  <sheetViews>
    <sheetView topLeftCell="B1" workbookViewId="0">
      <pane ySplit="1" topLeftCell="A26" activePane="bottomLeft" state="frozen"/>
      <selection pane="bottomLeft" activeCell="E35" sqref="E35:E39"/>
    </sheetView>
  </sheetViews>
  <sheetFormatPr baseColWidth="10" defaultColWidth="11.5546875" defaultRowHeight="14.4"/>
  <cols>
    <col min="1" max="1" width="36.44140625" style="49" customWidth="1"/>
    <col min="2" max="3" width="55.5546875" style="49" customWidth="1"/>
    <col min="4" max="4" width="44.109375" style="50" customWidth="1"/>
    <col min="5" max="5" width="62.109375" style="76" customWidth="1"/>
    <col min="6" max="16384" width="11.5546875" style="49"/>
  </cols>
  <sheetData>
    <row r="1" spans="1:5" s="51" customFormat="1" ht="18.600000000000001" thickBot="1">
      <c r="A1" s="51" t="s">
        <v>413</v>
      </c>
      <c r="B1" s="51" t="s">
        <v>412</v>
      </c>
      <c r="D1" s="51" t="s">
        <v>411</v>
      </c>
      <c r="E1" s="71" t="s">
        <v>414</v>
      </c>
    </row>
    <row r="2" spans="1:5" s="50" customFormat="1">
      <c r="A2" s="104" t="s">
        <v>3</v>
      </c>
      <c r="B2" s="10" t="s">
        <v>1</v>
      </c>
      <c r="C2" s="85"/>
      <c r="D2" s="58"/>
      <c r="E2" s="72"/>
    </row>
    <row r="3" spans="1:5">
      <c r="A3" s="105"/>
      <c r="B3" s="10" t="s">
        <v>2</v>
      </c>
      <c r="C3" s="85"/>
      <c r="D3" s="58" t="s">
        <v>48</v>
      </c>
      <c r="E3" s="72"/>
    </row>
    <row r="4" spans="1:5">
      <c r="A4" s="105"/>
      <c r="B4" s="11" t="s">
        <v>47</v>
      </c>
      <c r="C4" s="86"/>
      <c r="D4" s="58" t="s">
        <v>45</v>
      </c>
      <c r="E4" s="72"/>
    </row>
    <row r="5" spans="1:5">
      <c r="A5" s="105"/>
      <c r="B5" s="11" t="s">
        <v>46</v>
      </c>
      <c r="C5" s="86"/>
      <c r="D5" s="58" t="s">
        <v>45</v>
      </c>
      <c r="E5" s="72"/>
    </row>
    <row r="6" spans="1:5">
      <c r="A6" s="106"/>
      <c r="B6" s="11" t="s">
        <v>43</v>
      </c>
      <c r="C6" s="86"/>
      <c r="D6" s="58" t="s">
        <v>44</v>
      </c>
      <c r="E6" s="72"/>
    </row>
    <row r="7" spans="1:5">
      <c r="A7" s="117" t="s">
        <v>4</v>
      </c>
      <c r="B7" s="12" t="s">
        <v>0</v>
      </c>
      <c r="C7" s="87"/>
      <c r="D7" s="58" t="s">
        <v>49</v>
      </c>
      <c r="E7" s="72"/>
    </row>
    <row r="8" spans="1:5">
      <c r="A8" s="118"/>
      <c r="B8" s="13" t="s">
        <v>341</v>
      </c>
      <c r="C8" s="88"/>
      <c r="D8" s="58" t="s">
        <v>352</v>
      </c>
      <c r="E8" s="72"/>
    </row>
    <row r="9" spans="1:5">
      <c r="A9" s="118"/>
      <c r="B9" s="12"/>
      <c r="C9" s="87"/>
      <c r="D9" s="58" t="s">
        <v>342</v>
      </c>
      <c r="E9" s="72"/>
    </row>
    <row r="10" spans="1:5">
      <c r="A10" s="118"/>
      <c r="B10" s="119" t="s">
        <v>59</v>
      </c>
      <c r="C10" s="88"/>
      <c r="D10" s="58" t="s">
        <v>5</v>
      </c>
      <c r="E10" s="130" t="s">
        <v>415</v>
      </c>
    </row>
    <row r="11" spans="1:5">
      <c r="A11" s="118"/>
      <c r="B11" s="120"/>
      <c r="C11" s="87"/>
      <c r="D11" s="58" t="s">
        <v>6</v>
      </c>
      <c r="E11" s="131"/>
    </row>
    <row r="12" spans="1:5">
      <c r="A12" s="118"/>
      <c r="B12" s="120"/>
      <c r="C12" s="87"/>
      <c r="D12" s="58" t="s">
        <v>7</v>
      </c>
      <c r="E12" s="131"/>
    </row>
    <row r="13" spans="1:5">
      <c r="A13" s="118"/>
      <c r="B13" s="120"/>
      <c r="C13" s="87"/>
      <c r="D13" s="58" t="s">
        <v>8</v>
      </c>
      <c r="E13" s="131"/>
    </row>
    <row r="14" spans="1:5">
      <c r="A14" s="118"/>
      <c r="B14" s="120"/>
      <c r="C14" s="87"/>
      <c r="D14" s="58" t="s">
        <v>9</v>
      </c>
      <c r="E14" s="131"/>
    </row>
    <row r="15" spans="1:5">
      <c r="A15" s="118"/>
      <c r="B15" s="120"/>
      <c r="C15" s="87"/>
      <c r="D15" s="58" t="s">
        <v>11</v>
      </c>
      <c r="E15" s="132"/>
    </row>
    <row r="16" spans="1:5" ht="14.4" customHeight="1">
      <c r="A16" s="121" t="s">
        <v>19</v>
      </c>
      <c r="B16" s="123" t="s">
        <v>17</v>
      </c>
      <c r="C16" s="89"/>
      <c r="D16" s="18" t="s">
        <v>12</v>
      </c>
      <c r="E16" s="57"/>
    </row>
    <row r="17" spans="1:5">
      <c r="A17" s="122"/>
      <c r="B17" s="123"/>
      <c r="C17" s="89"/>
      <c r="D17" s="18" t="s">
        <v>13</v>
      </c>
      <c r="E17" s="57"/>
    </row>
    <row r="18" spans="1:5">
      <c r="A18" s="122"/>
      <c r="B18" s="123"/>
      <c r="C18" s="89"/>
      <c r="D18" s="18" t="s">
        <v>14</v>
      </c>
      <c r="E18" s="57"/>
    </row>
    <row r="19" spans="1:5">
      <c r="A19" s="122"/>
      <c r="B19" s="123" t="s">
        <v>18</v>
      </c>
      <c r="C19" s="89"/>
      <c r="D19" s="18" t="s">
        <v>12</v>
      </c>
      <c r="E19" s="57"/>
    </row>
    <row r="20" spans="1:5">
      <c r="A20" s="122"/>
      <c r="B20" s="123"/>
      <c r="C20" s="89"/>
      <c r="D20" s="18" t="s">
        <v>13</v>
      </c>
      <c r="E20" s="57"/>
    </row>
    <row r="21" spans="1:5">
      <c r="A21" s="122"/>
      <c r="B21" s="123"/>
      <c r="C21" s="89"/>
      <c r="D21" s="18" t="s">
        <v>14</v>
      </c>
      <c r="E21" s="57"/>
    </row>
    <row r="22" spans="1:5">
      <c r="A22" s="122"/>
      <c r="B22" s="14" t="s">
        <v>52</v>
      </c>
      <c r="C22" s="16"/>
      <c r="D22" s="78" t="s">
        <v>417</v>
      </c>
      <c r="E22" s="57"/>
    </row>
    <row r="23" spans="1:5">
      <c r="A23" s="122"/>
      <c r="B23" s="14" t="s">
        <v>53</v>
      </c>
      <c r="C23" s="16"/>
      <c r="D23" s="78" t="s">
        <v>417</v>
      </c>
      <c r="E23" s="57"/>
    </row>
    <row r="24" spans="1:5">
      <c r="A24" s="122"/>
      <c r="B24" s="14" t="s">
        <v>343</v>
      </c>
      <c r="C24" s="16"/>
      <c r="D24" s="78" t="s">
        <v>417</v>
      </c>
      <c r="E24" s="57"/>
    </row>
    <row r="25" spans="1:5">
      <c r="A25" s="122"/>
      <c r="B25" s="14" t="s">
        <v>15</v>
      </c>
      <c r="C25" s="16"/>
      <c r="D25" s="17" t="s">
        <v>60</v>
      </c>
      <c r="E25" s="57"/>
    </row>
    <row r="26" spans="1:5">
      <c r="A26" s="122"/>
      <c r="B26" s="16" t="s">
        <v>16</v>
      </c>
      <c r="C26" s="16"/>
      <c r="D26" s="17" t="s">
        <v>60</v>
      </c>
      <c r="E26" s="57"/>
    </row>
    <row r="27" spans="1:5">
      <c r="A27" s="122"/>
      <c r="B27" s="14" t="s">
        <v>361</v>
      </c>
      <c r="C27" s="16"/>
      <c r="D27" s="17" t="s">
        <v>60</v>
      </c>
      <c r="E27" s="57" t="s">
        <v>69</v>
      </c>
    </row>
    <row r="28" spans="1:5">
      <c r="A28" s="122"/>
      <c r="B28" s="14" t="s">
        <v>35</v>
      </c>
      <c r="C28" s="16"/>
      <c r="D28" s="78" t="s">
        <v>417</v>
      </c>
      <c r="E28" s="133" t="s">
        <v>416</v>
      </c>
    </row>
    <row r="29" spans="1:5">
      <c r="A29" s="122"/>
      <c r="B29" s="14" t="s">
        <v>36</v>
      </c>
      <c r="C29" s="16"/>
      <c r="D29" s="78" t="s">
        <v>417</v>
      </c>
      <c r="E29" s="57"/>
    </row>
    <row r="30" spans="1:5">
      <c r="A30" s="122"/>
      <c r="B30" s="14" t="s">
        <v>37</v>
      </c>
      <c r="C30" s="16"/>
      <c r="D30" s="78" t="s">
        <v>417</v>
      </c>
      <c r="E30" s="57"/>
    </row>
    <row r="31" spans="1:5">
      <c r="A31" s="122"/>
      <c r="B31" s="14" t="s">
        <v>41</v>
      </c>
      <c r="C31" s="16"/>
      <c r="D31" s="78" t="s">
        <v>417</v>
      </c>
      <c r="E31" s="57"/>
    </row>
    <row r="32" spans="1:5">
      <c r="A32" s="122"/>
      <c r="B32" s="52" t="s">
        <v>40</v>
      </c>
      <c r="C32" s="90"/>
      <c r="D32" s="78" t="s">
        <v>417</v>
      </c>
      <c r="E32" s="57"/>
    </row>
    <row r="33" spans="1:5">
      <c r="A33" s="122"/>
      <c r="B33" s="52" t="s">
        <v>39</v>
      </c>
      <c r="C33" s="90"/>
      <c r="D33" s="78" t="s">
        <v>417</v>
      </c>
      <c r="E33" s="57"/>
    </row>
    <row r="34" spans="1:5">
      <c r="A34" s="122"/>
      <c r="B34" s="52" t="s">
        <v>38</v>
      </c>
      <c r="C34" s="90"/>
      <c r="D34" s="78" t="s">
        <v>417</v>
      </c>
      <c r="E34" s="57"/>
    </row>
    <row r="35" spans="1:5">
      <c r="A35" s="122"/>
      <c r="B35" s="53" t="s">
        <v>20</v>
      </c>
      <c r="C35" s="91"/>
      <c r="D35" s="78" t="s">
        <v>417</v>
      </c>
      <c r="E35" s="77"/>
    </row>
    <row r="36" spans="1:5">
      <c r="A36" s="122"/>
      <c r="B36" s="54" t="s">
        <v>22</v>
      </c>
      <c r="C36" s="55"/>
      <c r="D36" s="78" t="s">
        <v>417</v>
      </c>
      <c r="E36" s="77"/>
    </row>
    <row r="37" spans="1:5" ht="15" thickBot="1">
      <c r="A37" s="122"/>
      <c r="B37" s="55" t="s">
        <v>21</v>
      </c>
      <c r="C37" s="55"/>
      <c r="D37" s="78" t="s">
        <v>417</v>
      </c>
      <c r="E37" s="77"/>
    </row>
    <row r="38" spans="1:5" ht="15.6" thickTop="1" thickBot="1">
      <c r="A38" s="122"/>
      <c r="B38" s="56" t="s">
        <v>369</v>
      </c>
      <c r="C38" s="92"/>
      <c r="D38" s="17" t="s">
        <v>60</v>
      </c>
      <c r="E38" s="77"/>
    </row>
    <row r="39" spans="1:5" ht="15.6" thickTop="1" thickBot="1">
      <c r="A39" s="122"/>
      <c r="B39" s="56" t="s">
        <v>370</v>
      </c>
      <c r="C39" s="92"/>
      <c r="D39" s="17" t="s">
        <v>60</v>
      </c>
      <c r="E39" s="77"/>
    </row>
    <row r="40" spans="1:5" ht="15" customHeight="1" thickBot="1">
      <c r="A40" s="136" t="s">
        <v>76</v>
      </c>
      <c r="B40" s="139" t="s">
        <v>68</v>
      </c>
      <c r="C40" s="93"/>
      <c r="D40" s="59" t="s">
        <v>388</v>
      </c>
      <c r="E40" s="73"/>
    </row>
    <row r="41" spans="1:5" ht="15" thickBot="1">
      <c r="A41" s="137"/>
      <c r="B41" s="140"/>
      <c r="C41" s="94"/>
      <c r="D41" s="19" t="s">
        <v>61</v>
      </c>
      <c r="E41" s="73"/>
    </row>
    <row r="42" spans="1:5" ht="15" thickBot="1">
      <c r="A42" s="137"/>
      <c r="B42" s="140"/>
      <c r="C42" s="94"/>
      <c r="D42" s="19" t="s">
        <v>98</v>
      </c>
      <c r="E42" s="73"/>
    </row>
    <row r="43" spans="1:5" ht="15" thickBot="1">
      <c r="A43" s="137"/>
      <c r="B43" s="140"/>
      <c r="C43" s="94"/>
      <c r="D43" s="19" t="s">
        <v>354</v>
      </c>
      <c r="E43" s="73"/>
    </row>
    <row r="44" spans="1:5" ht="15" thickBot="1">
      <c r="A44" s="137"/>
      <c r="B44" s="141"/>
      <c r="C44" s="94"/>
      <c r="D44" s="19" t="s">
        <v>353</v>
      </c>
      <c r="E44" s="73"/>
    </row>
    <row r="45" spans="1:5" ht="15" customHeight="1" thickBot="1">
      <c r="A45" s="137"/>
      <c r="B45" s="142" t="s">
        <v>408</v>
      </c>
      <c r="C45" s="95"/>
      <c r="D45" s="60" t="s">
        <v>405</v>
      </c>
      <c r="E45" s="73"/>
    </row>
    <row r="46" spans="1:5" ht="15" thickBot="1">
      <c r="A46" s="137"/>
      <c r="B46" s="143"/>
      <c r="C46" s="96"/>
      <c r="D46" s="20" t="s">
        <v>61</v>
      </c>
      <c r="E46" s="73"/>
    </row>
    <row r="47" spans="1:5" ht="15" thickBot="1">
      <c r="A47" s="137"/>
      <c r="B47" s="143"/>
      <c r="C47" s="96"/>
      <c r="D47" s="20" t="s">
        <v>98</v>
      </c>
      <c r="E47" s="73"/>
    </row>
    <row r="48" spans="1:5" ht="15" thickBot="1">
      <c r="A48" s="137"/>
      <c r="B48" s="143"/>
      <c r="C48" s="96"/>
      <c r="D48" s="20" t="s">
        <v>354</v>
      </c>
      <c r="E48" s="73"/>
    </row>
    <row r="49" spans="1:5">
      <c r="A49" s="137"/>
      <c r="B49" s="144"/>
      <c r="C49" s="96"/>
      <c r="D49" s="20" t="s">
        <v>353</v>
      </c>
      <c r="E49" s="73"/>
    </row>
    <row r="50" spans="1:5">
      <c r="A50" s="138"/>
      <c r="B50" s="21" t="s">
        <v>23</v>
      </c>
      <c r="C50" s="97"/>
      <c r="D50" s="15"/>
      <c r="E50" s="73"/>
    </row>
    <row r="51" spans="1:5">
      <c r="A51" s="138"/>
      <c r="B51" s="145" t="s">
        <v>72</v>
      </c>
      <c r="C51" s="22"/>
      <c r="D51" s="61" t="s">
        <v>71</v>
      </c>
      <c r="E51" s="73"/>
    </row>
    <row r="52" spans="1:5">
      <c r="A52" s="138"/>
      <c r="B52" s="145"/>
      <c r="C52" s="22"/>
      <c r="D52" s="61" t="s">
        <v>24</v>
      </c>
      <c r="E52" s="73"/>
    </row>
    <row r="53" spans="1:5">
      <c r="A53" s="138"/>
      <c r="B53" s="145"/>
      <c r="C53" s="22"/>
      <c r="D53" s="61" t="s">
        <v>54</v>
      </c>
      <c r="E53" s="73"/>
    </row>
    <row r="54" spans="1:5">
      <c r="A54" s="138"/>
      <c r="B54" s="145"/>
      <c r="C54" s="22"/>
      <c r="D54" s="61" t="s">
        <v>25</v>
      </c>
      <c r="E54" s="73"/>
    </row>
    <row r="55" spans="1:5">
      <c r="A55" s="138"/>
      <c r="B55" s="145"/>
      <c r="C55" s="22"/>
      <c r="D55" s="61" t="s">
        <v>27</v>
      </c>
      <c r="E55" s="73"/>
    </row>
    <row r="56" spans="1:5">
      <c r="A56" s="138"/>
      <c r="B56" s="145"/>
      <c r="C56" s="22"/>
      <c r="D56" s="61" t="s">
        <v>65</v>
      </c>
      <c r="E56" s="73"/>
    </row>
    <row r="57" spans="1:5">
      <c r="A57" s="138"/>
      <c r="B57" s="145"/>
      <c r="C57" s="22"/>
      <c r="D57" s="61" t="s">
        <v>28</v>
      </c>
      <c r="E57" s="73"/>
    </row>
    <row r="58" spans="1:5">
      <c r="A58" s="138"/>
      <c r="B58" s="22" t="s">
        <v>26</v>
      </c>
      <c r="C58" s="98"/>
      <c r="D58" s="23"/>
      <c r="E58" s="73"/>
    </row>
    <row r="59" spans="1:5">
      <c r="A59" s="138"/>
      <c r="B59" s="22" t="s">
        <v>29</v>
      </c>
      <c r="C59" s="99"/>
      <c r="D59" s="24"/>
      <c r="E59" s="73"/>
    </row>
    <row r="60" spans="1:5">
      <c r="A60" s="115" t="s">
        <v>62</v>
      </c>
      <c r="B60" s="25" t="s">
        <v>33</v>
      </c>
      <c r="C60" s="100"/>
      <c r="D60" s="62"/>
      <c r="E60" s="74"/>
    </row>
    <row r="61" spans="1:5">
      <c r="A61" s="115"/>
      <c r="B61" s="26" t="s">
        <v>378</v>
      </c>
      <c r="C61" s="63"/>
      <c r="D61" s="63" t="s">
        <v>376</v>
      </c>
      <c r="E61" s="27" t="s">
        <v>377</v>
      </c>
    </row>
    <row r="62" spans="1:5">
      <c r="A62" s="115"/>
      <c r="B62" s="116" t="s">
        <v>51</v>
      </c>
      <c r="C62" s="80"/>
      <c r="D62" s="64" t="s">
        <v>30</v>
      </c>
      <c r="E62" s="73"/>
    </row>
    <row r="63" spans="1:5">
      <c r="A63" s="115"/>
      <c r="B63" s="116"/>
      <c r="C63" s="80"/>
      <c r="D63" s="65" t="s">
        <v>31</v>
      </c>
      <c r="E63" s="73"/>
    </row>
    <row r="64" spans="1:5">
      <c r="A64" s="115"/>
      <c r="B64" s="116"/>
      <c r="C64" s="80"/>
      <c r="D64" s="65" t="s">
        <v>32</v>
      </c>
      <c r="E64" s="73"/>
    </row>
    <row r="65" spans="1:5">
      <c r="A65" s="115"/>
      <c r="B65" s="116"/>
      <c r="C65" s="80"/>
      <c r="D65" s="65" t="s">
        <v>409</v>
      </c>
      <c r="E65" s="73"/>
    </row>
    <row r="66" spans="1:5">
      <c r="A66" s="115"/>
      <c r="B66" s="116"/>
      <c r="C66" s="80"/>
      <c r="D66" s="65" t="s">
        <v>63</v>
      </c>
      <c r="E66" s="73"/>
    </row>
    <row r="67" spans="1:5">
      <c r="A67" s="115"/>
      <c r="B67" s="27" t="s">
        <v>379</v>
      </c>
      <c r="C67" s="101"/>
      <c r="D67" s="15" t="s">
        <v>381</v>
      </c>
      <c r="E67" s="73" t="s">
        <v>382</v>
      </c>
    </row>
    <row r="68" spans="1:5">
      <c r="A68" s="28"/>
      <c r="B68" s="27" t="s">
        <v>383</v>
      </c>
      <c r="C68" s="66"/>
      <c r="D68" s="66" t="s">
        <v>380</v>
      </c>
      <c r="E68" s="27"/>
    </row>
    <row r="69" spans="1:5">
      <c r="A69" s="134" t="s">
        <v>66</v>
      </c>
      <c r="B69" s="29" t="s">
        <v>34</v>
      </c>
      <c r="C69" s="102"/>
      <c r="D69" s="15"/>
      <c r="E69" s="73"/>
    </row>
    <row r="70" spans="1:5">
      <c r="A70" s="134"/>
      <c r="B70" s="29" t="s">
        <v>356</v>
      </c>
      <c r="C70" s="102"/>
      <c r="D70" s="15"/>
      <c r="E70" s="73"/>
    </row>
    <row r="71" spans="1:5" ht="15" thickBot="1">
      <c r="A71" s="134"/>
      <c r="B71" s="30" t="s">
        <v>10</v>
      </c>
      <c r="C71" s="102"/>
      <c r="D71" s="15"/>
      <c r="E71" s="73"/>
    </row>
    <row r="72" spans="1:5" ht="15" thickBot="1">
      <c r="A72" s="107" t="s">
        <v>73</v>
      </c>
      <c r="B72" s="31" t="s">
        <v>34</v>
      </c>
      <c r="C72" s="103"/>
      <c r="D72" s="32"/>
      <c r="E72" s="73"/>
    </row>
    <row r="73" spans="1:5" ht="29.4" thickBot="1">
      <c r="A73" s="108"/>
      <c r="B73" s="135" t="s">
        <v>50</v>
      </c>
      <c r="C73" s="35"/>
      <c r="D73" s="67" t="s">
        <v>70</v>
      </c>
      <c r="E73" s="73"/>
    </row>
    <row r="74" spans="1:5" ht="15" thickBot="1">
      <c r="A74" s="108"/>
      <c r="B74" s="111"/>
      <c r="C74" s="79"/>
      <c r="D74" s="67" t="s">
        <v>42</v>
      </c>
      <c r="E74" s="73"/>
    </row>
    <row r="75" spans="1:5" ht="15" thickBot="1">
      <c r="A75" s="108"/>
      <c r="B75" s="112" t="s">
        <v>55</v>
      </c>
      <c r="C75" s="35"/>
      <c r="D75" s="67" t="s">
        <v>57</v>
      </c>
      <c r="E75" s="34"/>
    </row>
    <row r="76" spans="1:5" ht="15" thickBot="1">
      <c r="A76" s="108"/>
      <c r="B76" s="112"/>
      <c r="C76" s="35"/>
      <c r="D76" s="67" t="s">
        <v>56</v>
      </c>
      <c r="E76" s="34"/>
    </row>
    <row r="77" spans="1:5" ht="15" thickBot="1">
      <c r="A77" s="108"/>
      <c r="B77" s="112"/>
      <c r="C77" s="35"/>
      <c r="D77" s="67" t="s">
        <v>67</v>
      </c>
      <c r="E77" s="34"/>
    </row>
    <row r="78" spans="1:5" ht="15" thickBot="1">
      <c r="A78" s="108"/>
      <c r="B78" s="112"/>
      <c r="C78" s="35"/>
      <c r="D78" s="67" t="s">
        <v>64</v>
      </c>
      <c r="E78" s="34"/>
    </row>
    <row r="79" spans="1:5" ht="15" thickBot="1">
      <c r="A79" s="108"/>
      <c r="B79" s="33" t="s">
        <v>349</v>
      </c>
      <c r="C79" s="35"/>
      <c r="D79" s="68"/>
      <c r="E79" s="73"/>
    </row>
    <row r="80" spans="1:5" ht="15" thickBot="1">
      <c r="A80" s="108"/>
      <c r="B80" s="33" t="s">
        <v>226</v>
      </c>
      <c r="C80" s="35"/>
      <c r="D80" s="113"/>
      <c r="E80" s="34"/>
    </row>
    <row r="81" spans="1:5" ht="15" thickBot="1">
      <c r="A81" s="108"/>
      <c r="B81" s="35" t="s">
        <v>347</v>
      </c>
      <c r="C81" s="79"/>
      <c r="D81" s="114"/>
      <c r="E81" s="34"/>
    </row>
    <row r="82" spans="1:5" ht="15" thickBot="1">
      <c r="A82" s="108"/>
      <c r="B82" s="35" t="s">
        <v>345</v>
      </c>
      <c r="C82" s="79"/>
      <c r="D82" s="114"/>
      <c r="E82" s="34"/>
    </row>
    <row r="83" spans="1:5" ht="15" thickBot="1">
      <c r="A83" s="108"/>
      <c r="B83" s="35" t="s">
        <v>348</v>
      </c>
      <c r="C83" s="79"/>
      <c r="D83" s="114"/>
      <c r="E83" s="34"/>
    </row>
    <row r="84" spans="1:5" ht="15" thickBot="1">
      <c r="A84" s="108"/>
      <c r="B84" s="35" t="s">
        <v>346</v>
      </c>
      <c r="C84" s="79"/>
      <c r="D84" s="114"/>
      <c r="E84" s="34"/>
    </row>
    <row r="85" spans="1:5" ht="43.8" thickBot="1">
      <c r="A85" s="109"/>
      <c r="B85" s="36" t="s">
        <v>10</v>
      </c>
      <c r="C85" s="79"/>
      <c r="D85" s="114"/>
      <c r="E85" s="34" t="s">
        <v>350</v>
      </c>
    </row>
    <row r="86" spans="1:5" ht="29.4" thickBot="1">
      <c r="A86" s="107" t="s">
        <v>74</v>
      </c>
      <c r="B86" s="110" t="s">
        <v>50</v>
      </c>
      <c r="C86" s="31"/>
      <c r="D86" s="69" t="s">
        <v>70</v>
      </c>
      <c r="E86" s="73"/>
    </row>
    <row r="87" spans="1:5" ht="15" thickBot="1">
      <c r="A87" s="108"/>
      <c r="B87" s="111"/>
      <c r="C87" s="79"/>
      <c r="D87" s="70" t="s">
        <v>42</v>
      </c>
      <c r="E87" s="73"/>
    </row>
    <row r="88" spans="1:5" ht="15" thickBot="1">
      <c r="A88" s="108"/>
      <c r="B88" s="112" t="s">
        <v>55</v>
      </c>
      <c r="C88" s="35"/>
      <c r="D88" s="67" t="s">
        <v>57</v>
      </c>
      <c r="E88" s="34"/>
    </row>
    <row r="89" spans="1:5" ht="15" thickBot="1">
      <c r="A89" s="108"/>
      <c r="B89" s="112"/>
      <c r="C89" s="35"/>
      <c r="D89" s="67" t="s">
        <v>56</v>
      </c>
      <c r="E89" s="34"/>
    </row>
    <row r="90" spans="1:5" ht="15" thickBot="1">
      <c r="A90" s="108"/>
      <c r="B90" s="112"/>
      <c r="C90" s="35"/>
      <c r="D90" s="67" t="s">
        <v>67</v>
      </c>
      <c r="E90" s="34"/>
    </row>
    <row r="91" spans="1:5" ht="15" thickBot="1">
      <c r="A91" s="108"/>
      <c r="B91" s="112"/>
      <c r="C91" s="35"/>
      <c r="D91" s="67" t="s">
        <v>64</v>
      </c>
      <c r="E91" s="34"/>
    </row>
    <row r="92" spans="1:5" ht="15" thickBot="1">
      <c r="A92" s="108"/>
      <c r="B92" s="33" t="s">
        <v>351</v>
      </c>
      <c r="C92" s="35"/>
      <c r="D92" s="68"/>
      <c r="E92" s="73"/>
    </row>
    <row r="93" spans="1:5" ht="15" thickBot="1">
      <c r="A93" s="108"/>
      <c r="B93" s="33" t="s">
        <v>226</v>
      </c>
      <c r="C93" s="35"/>
      <c r="D93" s="113"/>
      <c r="E93" s="34"/>
    </row>
    <row r="94" spans="1:5" ht="15" thickBot="1">
      <c r="A94" s="108"/>
      <c r="B94" s="35" t="s">
        <v>347</v>
      </c>
      <c r="C94" s="79"/>
      <c r="D94" s="114"/>
      <c r="E94" s="34"/>
    </row>
    <row r="95" spans="1:5" ht="15" thickBot="1">
      <c r="A95" s="108"/>
      <c r="B95" s="35" t="s">
        <v>345</v>
      </c>
      <c r="C95" s="79"/>
      <c r="D95" s="114"/>
      <c r="E95" s="34"/>
    </row>
    <row r="96" spans="1:5" ht="15" thickBot="1">
      <c r="A96" s="108"/>
      <c r="B96" s="35" t="s">
        <v>348</v>
      </c>
      <c r="C96" s="79"/>
      <c r="D96" s="114"/>
      <c r="E96" s="34"/>
    </row>
    <row r="97" spans="1:5" ht="15" thickBot="1">
      <c r="A97" s="108"/>
      <c r="B97" s="35" t="s">
        <v>346</v>
      </c>
      <c r="C97" s="79"/>
      <c r="D97" s="114"/>
      <c r="E97" s="34"/>
    </row>
    <row r="98" spans="1:5" ht="43.8" thickBot="1">
      <c r="A98" s="109"/>
      <c r="B98" s="36" t="s">
        <v>10</v>
      </c>
      <c r="C98" s="79"/>
      <c r="D98" s="114"/>
      <c r="E98" s="34" t="s">
        <v>350</v>
      </c>
    </row>
    <row r="99" spans="1:5" ht="29.4" thickBot="1">
      <c r="A99" s="107" t="s">
        <v>75</v>
      </c>
      <c r="B99" s="110" t="s">
        <v>50</v>
      </c>
      <c r="C99" s="31"/>
      <c r="D99" s="69" t="s">
        <v>70</v>
      </c>
      <c r="E99" s="73"/>
    </row>
    <row r="100" spans="1:5" ht="15" thickBot="1">
      <c r="A100" s="108"/>
      <c r="B100" s="111"/>
      <c r="C100" s="79"/>
      <c r="D100" s="67" t="s">
        <v>42</v>
      </c>
      <c r="E100" s="73"/>
    </row>
    <row r="101" spans="1:5" ht="15" thickBot="1">
      <c r="A101" s="108"/>
      <c r="B101" s="112" t="s">
        <v>55</v>
      </c>
      <c r="C101" s="35"/>
      <c r="D101" s="67" t="s">
        <v>57</v>
      </c>
      <c r="E101" s="34"/>
    </row>
    <row r="102" spans="1:5" ht="15" thickBot="1">
      <c r="A102" s="108"/>
      <c r="B102" s="112"/>
      <c r="C102" s="35"/>
      <c r="D102" s="67" t="s">
        <v>56</v>
      </c>
      <c r="E102" s="34"/>
    </row>
    <row r="103" spans="1:5" ht="15" thickBot="1">
      <c r="A103" s="108"/>
      <c r="B103" s="112"/>
      <c r="C103" s="35"/>
      <c r="D103" s="67" t="s">
        <v>67</v>
      </c>
      <c r="E103" s="34"/>
    </row>
    <row r="104" spans="1:5" ht="15" thickBot="1">
      <c r="A104" s="108"/>
      <c r="B104" s="112"/>
      <c r="C104" s="35"/>
      <c r="D104" s="67" t="s">
        <v>64</v>
      </c>
      <c r="E104" s="34"/>
    </row>
    <row r="105" spans="1:5" ht="15" thickBot="1">
      <c r="A105" s="108"/>
      <c r="B105" s="33" t="s">
        <v>58</v>
      </c>
      <c r="C105" s="35"/>
      <c r="D105" s="68"/>
      <c r="E105" s="75"/>
    </row>
    <row r="106" spans="1:5" ht="15" thickBot="1">
      <c r="A106" s="108"/>
      <c r="B106" s="33" t="s">
        <v>226</v>
      </c>
      <c r="C106" s="35"/>
      <c r="D106" s="113"/>
      <c r="E106" s="75"/>
    </row>
    <row r="107" spans="1:5" ht="15" thickBot="1">
      <c r="A107" s="108"/>
      <c r="B107" s="35" t="s">
        <v>347</v>
      </c>
      <c r="C107" s="79"/>
      <c r="D107" s="114"/>
      <c r="E107" s="75"/>
    </row>
    <row r="108" spans="1:5" ht="15" thickBot="1">
      <c r="A108" s="108"/>
      <c r="B108" s="35" t="s">
        <v>345</v>
      </c>
      <c r="C108" s="79"/>
      <c r="D108" s="114"/>
      <c r="E108" s="75"/>
    </row>
    <row r="109" spans="1:5" ht="15" thickBot="1">
      <c r="A109" s="108"/>
      <c r="B109" s="35" t="s">
        <v>348</v>
      </c>
      <c r="C109" s="79"/>
      <c r="D109" s="114"/>
      <c r="E109" s="75"/>
    </row>
    <row r="110" spans="1:5" ht="15" thickBot="1">
      <c r="A110" s="108"/>
      <c r="B110" s="35" t="s">
        <v>346</v>
      </c>
      <c r="C110" s="79"/>
      <c r="D110" s="114"/>
      <c r="E110" s="75"/>
    </row>
    <row r="111" spans="1:5" ht="43.8" thickBot="1">
      <c r="A111" s="109"/>
      <c r="B111" s="36" t="s">
        <v>10</v>
      </c>
      <c r="C111" s="79"/>
      <c r="D111" s="114"/>
      <c r="E111" s="75" t="s">
        <v>355</v>
      </c>
    </row>
    <row r="112" spans="1:5" ht="15" thickBot="1">
      <c r="A112" s="37" t="s">
        <v>344</v>
      </c>
      <c r="B112" s="38" t="s">
        <v>401</v>
      </c>
      <c r="C112" s="38"/>
      <c r="D112" s="39" t="s">
        <v>402</v>
      </c>
      <c r="E112" s="75"/>
    </row>
    <row r="113" spans="1:5" ht="15" thickBot="1">
      <c r="A113" s="40"/>
      <c r="B113" s="41" t="s">
        <v>393</v>
      </c>
      <c r="C113" s="41"/>
      <c r="D113" s="42"/>
      <c r="E113" s="75"/>
    </row>
    <row r="114" spans="1:5" ht="15" thickBot="1">
      <c r="A114" s="43" t="s">
        <v>395</v>
      </c>
      <c r="B114" s="44" t="s">
        <v>394</v>
      </c>
      <c r="C114" s="44"/>
      <c r="D114" s="45"/>
      <c r="E114" s="75"/>
    </row>
    <row r="115" spans="1:5" ht="15" thickBot="1">
      <c r="A115" s="82" t="s">
        <v>77</v>
      </c>
      <c r="B115" s="83"/>
      <c r="D115" s="83"/>
      <c r="E115" s="84"/>
    </row>
    <row r="116" spans="1:5" ht="15" thickBot="1">
      <c r="A116" s="124"/>
      <c r="B116" s="125"/>
      <c r="C116" s="125"/>
      <c r="D116" s="125"/>
      <c r="E116" s="126"/>
    </row>
    <row r="117" spans="1:5" ht="15" thickBot="1">
      <c r="A117" s="124"/>
      <c r="B117" s="125"/>
      <c r="C117" s="125"/>
      <c r="D117" s="125"/>
      <c r="E117" s="126"/>
    </row>
    <row r="118" spans="1:5" ht="15" thickBot="1">
      <c r="A118" s="127"/>
      <c r="B118" s="128"/>
      <c r="C118" s="128"/>
      <c r="D118" s="128"/>
      <c r="E118" s="129"/>
    </row>
    <row r="119" spans="1:5">
      <c r="A119" s="46"/>
      <c r="B119" s="47"/>
      <c r="C119" s="47"/>
      <c r="D119" s="15"/>
    </row>
    <row r="120" spans="1:5">
      <c r="A120" s="46"/>
      <c r="B120" s="47"/>
      <c r="C120" s="47"/>
      <c r="D120" s="15"/>
    </row>
    <row r="121" spans="1:5">
      <c r="A121" s="48"/>
      <c r="B121" s="48"/>
      <c r="C121" s="48"/>
      <c r="D121" s="15"/>
    </row>
    <row r="122" spans="1:5">
      <c r="A122" s="48"/>
      <c r="B122" s="48"/>
      <c r="C122" s="48"/>
      <c r="D122" s="15"/>
    </row>
    <row r="123" spans="1:5">
      <c r="A123" s="48"/>
      <c r="B123" s="48"/>
      <c r="C123" s="48"/>
      <c r="D123" s="15"/>
    </row>
    <row r="124" spans="1:5">
      <c r="A124" s="48"/>
      <c r="B124" s="48"/>
      <c r="C124" s="48"/>
      <c r="D124" s="15"/>
    </row>
    <row r="125" spans="1:5">
      <c r="A125" s="48"/>
      <c r="B125" s="48"/>
      <c r="C125" s="48"/>
      <c r="D125" s="15"/>
    </row>
    <row r="126" spans="1:5">
      <c r="A126" s="48"/>
      <c r="B126" s="48"/>
      <c r="C126" s="48"/>
      <c r="D126" s="15"/>
    </row>
    <row r="127" spans="1:5">
      <c r="A127" s="48"/>
      <c r="B127" s="48"/>
      <c r="C127" s="48"/>
      <c r="D127" s="15"/>
    </row>
    <row r="128" spans="1:5">
      <c r="A128" s="48"/>
      <c r="B128" s="48"/>
      <c r="C128" s="48"/>
      <c r="D128" s="15"/>
    </row>
    <row r="129" spans="1:4">
      <c r="A129" s="48"/>
      <c r="B129" s="48"/>
      <c r="C129" s="48"/>
      <c r="D129" s="15"/>
    </row>
    <row r="130" spans="1:4">
      <c r="A130" s="48"/>
      <c r="B130" s="48"/>
      <c r="C130" s="48"/>
      <c r="D130" s="15"/>
    </row>
    <row r="131" spans="1:4">
      <c r="A131" s="48"/>
      <c r="B131" s="48"/>
      <c r="C131" s="48"/>
      <c r="D131" s="15"/>
    </row>
    <row r="132" spans="1:4">
      <c r="A132" s="48"/>
      <c r="B132" s="48"/>
      <c r="C132" s="48"/>
      <c r="D132" s="15"/>
    </row>
    <row r="133" spans="1:4">
      <c r="A133" s="48"/>
      <c r="B133" s="48"/>
      <c r="C133" s="48"/>
      <c r="D133" s="15"/>
    </row>
    <row r="134" spans="1:4">
      <c r="A134" s="48"/>
      <c r="B134" s="48"/>
      <c r="C134" s="48"/>
      <c r="D134" s="15"/>
    </row>
    <row r="135" spans="1:4">
      <c r="A135" s="48"/>
      <c r="B135" s="48"/>
      <c r="C135" s="48"/>
      <c r="D135" s="15"/>
    </row>
    <row r="136" spans="1:4">
      <c r="A136" s="48"/>
      <c r="B136" s="48"/>
      <c r="C136" s="48"/>
      <c r="D136" s="15"/>
    </row>
    <row r="137" spans="1:4">
      <c r="A137" s="48"/>
      <c r="B137" s="48"/>
      <c r="C137" s="48"/>
      <c r="D137" s="15"/>
    </row>
    <row r="138" spans="1:4">
      <c r="A138" s="48"/>
      <c r="B138" s="48"/>
      <c r="C138" s="48"/>
      <c r="D138" s="15"/>
    </row>
    <row r="139" spans="1:4">
      <c r="A139" s="48"/>
      <c r="B139" s="48"/>
      <c r="C139" s="48"/>
      <c r="D139" s="15"/>
    </row>
    <row r="140" spans="1:4">
      <c r="A140" s="48"/>
      <c r="B140" s="48"/>
      <c r="C140" s="48"/>
      <c r="D140" s="15"/>
    </row>
    <row r="141" spans="1:4">
      <c r="A141" s="48"/>
      <c r="B141" s="48"/>
      <c r="C141" s="48"/>
      <c r="D141" s="15"/>
    </row>
    <row r="142" spans="1:4">
      <c r="A142" s="48"/>
      <c r="B142" s="48"/>
      <c r="C142" s="48"/>
      <c r="D142" s="15"/>
    </row>
    <row r="143" spans="1:4">
      <c r="A143" s="48"/>
      <c r="B143" s="48"/>
      <c r="C143" s="48"/>
      <c r="D143" s="15"/>
    </row>
    <row r="144" spans="1:4">
      <c r="A144" s="48"/>
      <c r="B144" s="48"/>
      <c r="C144" s="48"/>
      <c r="D144" s="15"/>
    </row>
    <row r="145" spans="1:4">
      <c r="A145" s="48"/>
      <c r="B145" s="48"/>
      <c r="C145" s="48"/>
      <c r="D145" s="15"/>
    </row>
    <row r="146" spans="1:4">
      <c r="A146" s="48"/>
      <c r="B146" s="48"/>
      <c r="C146" s="48"/>
      <c r="D146" s="15"/>
    </row>
    <row r="147" spans="1:4">
      <c r="A147" s="48"/>
      <c r="B147" s="48"/>
      <c r="C147" s="48"/>
      <c r="D147" s="15"/>
    </row>
    <row r="148" spans="1:4">
      <c r="A148" s="48"/>
      <c r="B148" s="48"/>
      <c r="C148" s="48"/>
      <c r="D148" s="15"/>
    </row>
    <row r="149" spans="1:4">
      <c r="A149" s="48"/>
      <c r="B149" s="48"/>
      <c r="C149" s="48"/>
      <c r="D149" s="15"/>
    </row>
    <row r="150" spans="1:4">
      <c r="A150" s="48"/>
      <c r="B150" s="48"/>
      <c r="C150" s="48"/>
      <c r="D150" s="15"/>
    </row>
    <row r="151" spans="1:4">
      <c r="A151" s="48"/>
      <c r="B151" s="48"/>
      <c r="C151" s="48"/>
      <c r="D151" s="15"/>
    </row>
    <row r="152" spans="1:4">
      <c r="A152" s="48"/>
      <c r="B152" s="48"/>
      <c r="C152" s="48"/>
      <c r="D152" s="15"/>
    </row>
    <row r="153" spans="1:4">
      <c r="A153" s="48"/>
      <c r="B153" s="48"/>
      <c r="C153" s="48"/>
      <c r="D153" s="15"/>
    </row>
    <row r="154" spans="1:4">
      <c r="A154" s="48"/>
      <c r="B154" s="48"/>
      <c r="C154" s="48"/>
      <c r="D154" s="15"/>
    </row>
    <row r="155" spans="1:4">
      <c r="A155" s="48"/>
      <c r="B155" s="48"/>
      <c r="C155" s="48"/>
      <c r="D155" s="15"/>
    </row>
    <row r="156" spans="1:4">
      <c r="A156" s="48"/>
      <c r="B156" s="48"/>
      <c r="C156" s="48"/>
      <c r="D156" s="15"/>
    </row>
    <row r="157" spans="1:4">
      <c r="A157" s="48"/>
      <c r="B157" s="48"/>
      <c r="C157" s="48"/>
      <c r="D157" s="15"/>
    </row>
    <row r="158" spans="1:4">
      <c r="A158" s="48"/>
      <c r="B158" s="48"/>
      <c r="C158" s="48"/>
      <c r="D158" s="15"/>
    </row>
    <row r="159" spans="1:4">
      <c r="A159" s="48"/>
      <c r="B159" s="48"/>
      <c r="C159" s="48"/>
      <c r="D159" s="15"/>
    </row>
    <row r="160" spans="1:4">
      <c r="A160" s="48"/>
      <c r="B160" s="48"/>
      <c r="C160" s="48"/>
      <c r="D160" s="15"/>
    </row>
    <row r="161" spans="1:4">
      <c r="A161" s="48"/>
      <c r="B161" s="48"/>
      <c r="C161" s="48"/>
      <c r="D161" s="15"/>
    </row>
    <row r="162" spans="1:4">
      <c r="A162" s="48"/>
      <c r="B162" s="48"/>
      <c r="C162" s="48"/>
      <c r="D162" s="15"/>
    </row>
    <row r="163" spans="1:4">
      <c r="A163" s="48"/>
      <c r="B163" s="48"/>
      <c r="C163" s="48"/>
      <c r="D163" s="15"/>
    </row>
    <row r="164" spans="1:4">
      <c r="A164" s="48"/>
      <c r="B164" s="48"/>
      <c r="C164" s="48"/>
      <c r="D164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Feuil1</vt:lpstr>
      <vt:lpstr>dictionnaire variables</vt:lpstr>
      <vt:lpstr>dictionnaire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Clémence d'Alès</dc:creator>
  <cp:lastModifiedBy>MONTI, Francesco</cp:lastModifiedBy>
  <dcterms:created xsi:type="dcterms:W3CDTF">2023-12-22T20:00:24Z</dcterms:created>
  <dcterms:modified xsi:type="dcterms:W3CDTF">2025-07-21T13:41:05Z</dcterms:modified>
</cp:coreProperties>
</file>